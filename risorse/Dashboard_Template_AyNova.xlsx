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Calculations" sheetId="3" state="visible" r:id="rId5"/>
    <sheet name="Guide" sheetId="4" state="visible" r:id="rId6"/>
  </sheets>
  <definedNames>
    <definedName function="false" hidden="true" localSheetId="1" name="_xlnm._FilterDatabase" vbProcedure="false">Data!$A$1:$G$289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<sst xmlns="http://schemas.openxmlformats.org/spreadsheetml/2006/main" count="1216" uniqueCount="52">
  <si>
    <t xml:space="preserve">BIG FASHION GROUP · SALES DASHBOARD</t>
  </si>
  <si>
    <t xml:space="preserve">Sample template by AyNova Academy · Sample data, January-June 2024</t>
  </si>
  <si>
    <t xml:space="preserve">Region</t>
  </si>
  <si>
    <t xml:space="preserve">All</t>
  </si>
  <si>
    <t xml:space="preserve">Category</t>
  </si>
  <si>
    <t xml:space="preserve">← Pick from the drop-down menus (yellow cells): everything updates</t>
  </si>
  <si>
    <t xml:space="preserve">TOTAL SALES</t>
  </si>
  <si>
    <t xml:space="preserve">ORDERS</t>
  </si>
  <si>
    <t xml:space="preserve">AVERAGE ORDER VALUE</t>
  </si>
  <si>
    <t xml:space="preserve">GROWTH VS PREVIOUS YEAR</t>
  </si>
  <si>
    <t xml:space="preserve">Template created by AyNova Academy · aynovaacademy.github.io/AyNova-Academy/en/</t>
  </si>
  <si>
    <t xml:space="preserve">Month</t>
  </si>
  <si>
    <t xml:space="preserve">Brand</t>
  </si>
  <si>
    <t xml:space="preserve">Sales ($)</t>
  </si>
  <si>
    <t xml:space="preserve">Orders</t>
  </si>
  <si>
    <t xml:space="preserve">Previous year sales ($)</t>
  </si>
  <si>
    <t xml:space="preserve">Jan</t>
  </si>
  <si>
    <t xml:space="preserve">NSW</t>
  </si>
  <si>
    <t xml:space="preserve">Shoes</t>
  </si>
  <si>
    <t xml:space="preserve">Big Fashion</t>
  </si>
  <si>
    <t xml:space="preserve">Sister Brands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</si>
  <si>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</si>
  <si>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</si>
  <si>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</si>
  <si>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</si>
  <si>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</si>
  <si>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Home</t>
  </si>
  <si>
    <t xml:space="preserve">Kids</t>
  </si>
  <si>
    <t xml:space="preserve">Socks</t>
  </si>
  <si>
    <t xml:space="preserve">Victoria</t>
  </si>
  <si>
    <t xml:space="preserve">Queensland</t>
  </si>
  <si>
    <t xml:space="preserve">W. Australia</t>
  </si>
  <si>
    <t xml:space="preserve">N. Territory</t>
  </si>
  <si>
    <t xml:space="preserve">Tasmania</t>
  </si>
  <si>
    <t xml:space="preserve">Helper calculations (do not edit: the formulas update by themselves)</t>
  </si>
  <si>
    <t xml:space="preserve">Region criterion</t>
  </si>
  <si>
    <t xml:space="preserve">Category criterion</t>
  </si>
  <si>
    <t xml:space="preserve">Sales</t>
  </si>
  <si>
    <t xml:space="preserve">HOW TO USE THIS TEMPLATE</t>
  </si>
  <si>
    <t xml:space="preserve">1. In the Dashboard sheet, change the two yellow cells (Region and Category) using the drop-down menus: KPIs and charts update by themselves.</t>
  </si>
  <si>
    <t xml:space="preserve">2. To use your own data, go to the Data sheet and replace the rows with yours, keeping the same columns (blue text = data to enter).</t>
  </si>
  <si>
    <t xml:space="preserve">3. Example of a valid row: Jan | NSW | Shoes | Big Fashion | 1500000 | 190 | 1250000</t>
  </si>
  <si>
    <t xml:space="preserve">4. If you change the names of regions, categories or brands, update them also in the lists of the Calculations sheet and in the Dashboard cells.</t>
  </si>
  <si>
    <t xml:space="preserve">5. The Calculations sheet holds the helper formulas: do not edit it.</t>
  </si>
  <si>
    <t xml:space="preserve">WHAT IT CONTAINS AND HOW IT IS BUILT</t>
  </si>
  <si>
    <t xml:space="preserve">The sample data (288 rows) was made up by AyNova Academy to show how the template works: it is not data from a real company.</t>
  </si>
  <si>
    <t xml:space="preserve">The 'Previous year sales' column is calculated by dividing sales by (1 + assumed growth): it is an example assumption.</t>
  </si>
  <si>
    <t xml:space="preserve">The formulas use SUMIFS with drop-down filters; the value 'All' becomes the * character, which accepts any value.</t>
  </si>
  <si>
    <t xml:space="preserve">The template works with Excel; the charts update when you change the filters.</t>
  </si>
  <si>
    <t xml:space="preserve">WANT TO BUILD DASHBOARDS LIKE THIS WITH AI?</t>
  </si>
  <si>
    <t xml:space="preserve">Book a free 30-minute session: https://cal.com/docente-corsi-jnzsdu/sessione-discovery</t>
  </si>
  <si>
    <t xml:space="preserve">Website: https://aynovaacademy.github.io/AyNova-Academy/en/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</si>
</sst>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\M"/>
    <numFmt numFmtId="166" formatCode="#,##0"/>
    <numFmt numFmtId="167" formatCode="\$#,##0"/>
    <numFmt numFmtId="168" formatCode="\+0.0%;\-0.0%;0.0%"/>
    <numFmt numFmtId="169" formatCode="\$#,##0\M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9FB0C4"/>
      <name val="Arial"/>
      <family val="0"/>
      <charset val="1"/>
    </font>
    <font>
      <b val="true"/>
      <sz val="11"/>
      <color rgb="FF00D4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color rgb="FF9FB0C4"/>
      <name val="Arial"/>
      <family val="0"/>
      <charset val="1"/>
    </font>
    <font>
      <b val="true"/>
      <sz val="9"/>
      <color rgb="FF9FB0C4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9"/>
      <color rgb="FF9FB0C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00A0C8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4090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B1626"/>
        <bgColor rgb="FF04090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F3A5F"/>
      </left>
      <right style="thin">
        <color rgb="FF1F3A5F"/>
      </right>
      <top style="thin">
        <color rgb="FF1F3A5F"/>
      </top>
      <bottom/>
      <diagonal/>
    </border>
    <border diagonalUp="false" diagonalDown="false">
      <left style="thin">
        <color rgb="FF1F3A5F"/>
      </left>
      <right style="thin">
        <color rgb="FF1F3A5F"/>
      </right>
      <top/>
      <bottom style="thin">
        <color rgb="FF1F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2ECC71"/>
        <sz val="22"/>
      </font>
    </dxf>
    <dxf>
      <font>
        <name val="Arial"/>
        <charset val="1"/>
        <family val="0"/>
        <b val="1"/>
        <color rgb="FFE74C3C"/>
        <sz val="22"/>
      </font>
    </dxf>
    <dxf>
      <fill>
        <patternFill patternType="solid">
          <fgColor rgb="FF0B162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4090F"/>
      <rgbColor rgb="FF808000"/>
      <rgbColor rgb="FF800080"/>
      <rgbColor rgb="FF00A0C8"/>
      <rgbColor rgb="FF9FB0C4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4AAFF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ECC71"/>
      <rgbColor rgb="FF99CC00"/>
      <rgbColor rgb="FFFFCC00"/>
      <rgbColor rgb="FFFF8C0A"/>
      <rgbColor rgb="FFE74C3C"/>
      <rgbColor rgb="FF4F81BD"/>
      <rgbColor rgb="FF969696"/>
      <rgbColor rgb="FF1F3A5F"/>
      <rgbColor rgb="FF339966"/>
      <rgbColor rgb="FF0B162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over time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Calculations!B6</c:f>
              <c:strCache>
                <c:ptCount val="1"/>
                <c:pt idx="0">
                  <c:v>Big Fashion</c:v>
                </c:pt>
              </c:strCache>
            </c:strRef>
          </c:tx>
          <c:spPr>
            <a:solidFill>
              <a:srgbClr val="ff8c0a"/>
            </a:solidFill>
            <a:ln w="32040">
              <a:solidFill>
                <a:srgbClr val="ff8c0a"/>
              </a:solidFill>
              <a:round/>
            </a:ln>
          </c:spPr>
          <c:marker>
            <c:symbol val="circle"/>
            <c:size val="7"/>
            <c:spPr>
              <a:solidFill>
                <a:srgbClr val="ff8c0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Calculations!$A$7:$A$12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Calculations!$B$7:$B$12</c:f>
              <c:numCache>
                <c:formatCode>\$#,##0.0\M</c:formatCode>
                <c:ptCount val="6"/>
                <c:pt idx="0">
                  <c:v>13.800629</c:v>
                </c:pt>
                <c:pt idx="1">
                  <c:v>14.862218</c:v>
                </c:pt>
                <c:pt idx="2">
                  <c:v>16.985392</c:v>
                </c:pt>
                <c:pt idx="3">
                  <c:v>21.23174</c:v>
                </c:pt>
                <c:pt idx="4">
                  <c:v>20.170152</c:v>
                </c:pt>
                <c:pt idx="5">
                  <c:v>19.108566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Calculations!C6</c:f>
              <c:strCache>
                <c:ptCount val="1"/>
                <c:pt idx="0">
                  <c:v>Sister Brands</c:v>
                </c:pt>
              </c:strCache>
            </c:strRef>
          </c:tx>
          <c:spPr>
            <a:solidFill>
              <a:srgbClr val="14aaff"/>
            </a:solidFill>
            <a:ln w="32040">
              <a:solidFill>
                <a:srgbClr val="14aaff"/>
              </a:solidFill>
              <a:round/>
            </a:ln>
          </c:spPr>
          <c:marker>
            <c:symbol val="circle"/>
            <c:size val="7"/>
            <c:spPr>
              <a:solidFill>
                <a:srgbClr val="14a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Calculations!$A$7:$A$12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Calculations!$C$7:$C$12</c:f>
              <c:numCache>
                <c:formatCode>\$#,##0.0\M</c:formatCode>
                <c:ptCount val="6"/>
                <c:pt idx="0">
                  <c:v>10.821371</c:v>
                </c:pt>
                <c:pt idx="1">
                  <c:v>11.653782</c:v>
                </c:pt>
                <c:pt idx="2">
                  <c:v>13.318608</c:v>
                </c:pt>
                <c:pt idx="3">
                  <c:v>16.64826</c:v>
                </c:pt>
                <c:pt idx="4">
                  <c:v>15.815849</c:v>
                </c:pt>
                <c:pt idx="5">
                  <c:v>14.983434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170535"/>
        <c:axId val="224362"/>
      </c:lineChart>
      <c:catAx>
        <c:axId val="49170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362"/>
        <c:crosses val="autoZero"/>
        <c:auto val="1"/>
        <c:lblAlgn val="ctr"/>
        <c:lblOffset val="100"/>
        <c:noMultiLvlLbl val="0"/>
      </c:catAx>
      <c:valAx>
        <c:axId val="224362"/>
        <c:scaling>
          <c:orientation val="minMax"/>
        </c:scaling>
        <c:delete val="0"/>
        <c:axPos val="l"/>
        <c:numFmt formatCode="\$#,##0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705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Brand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Calculations!M6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ff8c0a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4aaf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Calculations!$L$7:$L$8</c:f>
              <c:strCache>
                <c:ptCount val="2"/>
                <c:pt idx="0">
                  <c:v>Big Fashion</c:v>
                </c:pt>
                <c:pt idx="1">
                  <c:v>Sister Brands</c:v>
                </c:pt>
              </c:strCache>
            </c:strRef>
          </c:cat>
          <c:val>
            <c:numRef>
              <c:f>Calculations!$M$7:$M$8</c:f>
              <c:numCache>
                <c:formatCode>\$#,##0.0\M</c:formatCode>
                <c:ptCount val="2"/>
                <c:pt idx="0">
                  <c:v>106.158697</c:v>
                </c:pt>
                <c:pt idx="1">
                  <c:v>83.241304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Calculations!F6</c:f>
              <c:strCache>
                <c:ptCount val="1"/>
                <c:pt idx="0">
                  <c:v>Big Fashion</c:v>
                </c:pt>
              </c:strCache>
            </c:strRef>
          </c:tx>
          <c:spPr>
            <a:solidFill>
              <a:srgbClr val="ff8c0a"/>
            </a:solidFill>
            <a:ln w="0">
              <a:solidFill>
                <a:srgbClr val="ff8c0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Calculations!$E$7:$E$10</c:f>
              <c:strCache>
                <c:ptCount val="4"/>
                <c:pt idx="0">
                  <c:v>Shoes</c:v>
                </c:pt>
                <c:pt idx="1">
                  <c:v>Home</c:v>
                </c:pt>
                <c:pt idx="2">
                  <c:v>Kids</c:v>
                </c:pt>
                <c:pt idx="3">
                  <c:v>Socks</c:v>
                </c:pt>
              </c:strCache>
            </c:strRef>
          </c:cat>
          <c:val>
            <c:numRef>
              <c:f>Calculations!$F$7:$F$10</c:f>
              <c:numCache>
                <c:formatCode>\$#,##0.0\M</c:formatCode>
                <c:ptCount val="4"/>
                <c:pt idx="0">
                  <c:v>39.774</c:v>
                </c:pt>
                <c:pt idx="1">
                  <c:v>26.989497</c:v>
                </c:pt>
                <c:pt idx="2">
                  <c:v>21.667358</c:v>
                </c:pt>
                <c:pt idx="3">
                  <c:v>17.727842</c:v>
                </c:pt>
              </c:numCache>
            </c:numRef>
          </c:val>
        </c:ser>
        <c:ser>
          <c:idx val="1"/>
          <c:order val="1"/>
          <c:tx>
            <c:strRef>
              <c:f>Calculations!G6</c:f>
              <c:strCache>
                <c:ptCount val="1"/>
                <c:pt idx="0">
                  <c:v>Sister Brands</c:v>
                </c:pt>
              </c:strCache>
            </c:strRef>
          </c:tx>
          <c:spPr>
            <a:solidFill>
              <a:srgbClr val="14aaff"/>
            </a:solidFill>
            <a:ln w="0">
              <a:solidFill>
                <a:srgbClr val="14aa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Calculations!$E$7:$E$10</c:f>
              <c:strCache>
                <c:ptCount val="4"/>
                <c:pt idx="0">
                  <c:v>Shoes</c:v>
                </c:pt>
                <c:pt idx="1">
                  <c:v>Home</c:v>
                </c:pt>
                <c:pt idx="2">
                  <c:v>Kids</c:v>
                </c:pt>
                <c:pt idx="3">
                  <c:v>Socks</c:v>
                </c:pt>
              </c:strCache>
            </c:strRef>
          </c:cat>
          <c:val>
            <c:numRef>
              <c:f>Calculations!$G$7:$G$10</c:f>
              <c:numCache>
                <c:formatCode>\$#,##0.0\M</c:formatCode>
                <c:ptCount val="4"/>
                <c:pt idx="0">
                  <c:v>26.516</c:v>
                </c:pt>
                <c:pt idx="1">
                  <c:v>20.360504</c:v>
                </c:pt>
                <c:pt idx="2">
                  <c:v>20.000642</c:v>
                </c:pt>
                <c:pt idx="3">
                  <c:v>16.364158</c:v>
                </c:pt>
              </c:numCache>
            </c:numRef>
          </c:val>
        </c:ser>
        <c:gapWidth val="150"/>
        <c:overlap val="0"/>
        <c:axId val="86285959"/>
        <c:axId val="19742458"/>
      </c:barChart>
      <c:catAx>
        <c:axId val="86285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42458"/>
        <c:crosses val="autoZero"/>
        <c:auto val="1"/>
        <c:lblAlgn val="ctr"/>
        <c:lblOffset val="100"/>
        <c:noMultiLvlLbl val="0"/>
      </c:catAx>
      <c:valAx>
        <c:axId val="19742458"/>
        <c:scaling>
          <c:orientation val="minMax"/>
        </c:scaling>
        <c:delete val="0"/>
        <c:axPos val="l"/>
        <c:numFmt formatCode="\$#,##0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859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Calculations!J6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4aaff"/>
            </a:solidFill>
            <a:ln w="0">
              <a:solidFill>
                <a:srgbClr val="14aa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Calculations!$I$7:$I$12</c:f>
              <c:strCache>
                <c:ptCount val="6"/>
                <c:pt idx="0">
                  <c:v>NSW</c:v>
                </c:pt>
                <c:pt idx="1">
                  <c:v>Victoria</c:v>
                </c:pt>
                <c:pt idx="2">
                  <c:v>Queensland</c:v>
                </c:pt>
                <c:pt idx="3">
                  <c:v>W. Australia</c:v>
                </c:pt>
                <c:pt idx="4">
                  <c:v>N. Territory</c:v>
                </c:pt>
                <c:pt idx="5">
                  <c:v>Tasmania</c:v>
                </c:pt>
              </c:strCache>
            </c:strRef>
          </c:cat>
          <c:val>
            <c:numRef>
              <c:f>Calculations!$J$7:$J$12</c:f>
              <c:numCache>
                <c:formatCode>\$#,##0.0\M</c:formatCode>
                <c:ptCount val="6"/>
                <c:pt idx="0">
                  <c:v>87.300001</c:v>
                </c:pt>
                <c:pt idx="1">
                  <c:v>46.7</c:v>
                </c:pt>
                <c:pt idx="2">
                  <c:v>32.1</c:v>
                </c:pt>
                <c:pt idx="3">
                  <c:v>18.7</c:v>
                </c:pt>
                <c:pt idx="4">
                  <c:v>2.4</c:v>
                </c:pt>
                <c:pt idx="5">
                  <c:v>2.2</c:v>
                </c:pt>
              </c:numCache>
            </c:numRef>
          </c:val>
        </c:ser>
        <c:gapWidth val="150"/>
        <c:overlap val="0"/>
        <c:axId val="7130617"/>
        <c:axId val="16557339"/>
      </c:barChart>
      <c:catAx>
        <c:axId val="713061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57339"/>
        <c:crosses val="autoZero"/>
        <c:auto val="1"/>
        <c:lblAlgn val="ctr"/>
        <c:lblOffset val="100"/>
        <c:noMultiLvlLbl val="0"/>
      </c:catAx>
      <c:valAx>
        <c:axId val="16557339"/>
        <c:scaling>
          <c:orientation val="minMax"/>
        </c:scaling>
        <c:delete val="0"/>
        <c:axPos val="l"/>
        <c:numFmt formatCode="\$#,##0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06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7</xdr:col>
      <xdr:colOff>802080</xdr:colOff>
      <xdr:row>23</xdr:row>
      <xdr:rowOff>93960</xdr:rowOff>
    </xdr:to>
    <xdr:graphicFrame>
      <xdr:nvGraphicFramePr>
        <xdr:cNvPr id="0" name="Chart 1"/>
        <xdr:cNvGraphicFramePr/>
      </xdr:nvGraphicFramePr>
      <xdr:xfrm>
        <a:off x="141120" y="2124000"/>
        <a:ext cx="62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8</xdr:row>
      <xdr:rowOff>0</xdr:rowOff>
    </xdr:from>
    <xdr:to>
      <xdr:col>11</xdr:col>
      <xdr:colOff>562680</xdr:colOff>
      <xdr:row>23</xdr:row>
      <xdr:rowOff>93960</xdr:rowOff>
    </xdr:to>
    <xdr:graphicFrame>
      <xdr:nvGraphicFramePr>
        <xdr:cNvPr id="1" name="Chart 2"/>
        <xdr:cNvGraphicFramePr/>
      </xdr:nvGraphicFramePr>
      <xdr:xfrm>
        <a:off x="6555240" y="2124000"/>
        <a:ext cx="3311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6</xdr:col>
      <xdr:colOff>314280</xdr:colOff>
      <xdr:row>40</xdr:row>
      <xdr:rowOff>93960</xdr:rowOff>
    </xdr:to>
    <xdr:graphicFrame>
      <xdr:nvGraphicFramePr>
        <xdr:cNvPr id="2" name="Chart 3"/>
        <xdr:cNvGraphicFramePr/>
      </xdr:nvGraphicFramePr>
      <xdr:xfrm>
        <a:off x="141120" y="5362560"/>
        <a:ext cx="4895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12</xdr:col>
      <xdr:colOff>133920</xdr:colOff>
      <xdr:row>40</xdr:row>
      <xdr:rowOff>93960</xdr:rowOff>
    </xdr:to>
    <xdr:graphicFrame>
      <xdr:nvGraphicFramePr>
        <xdr:cNvPr id="3" name="Chart 4"/>
        <xdr:cNvGraphicFramePr/>
      </xdr:nvGraphicFramePr>
      <xdr:xfrm>
        <a:off x="5638680" y="5362560"/>
        <a:ext cx="4715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4" min="2" style="0" width="13"/>
  </cols>
  <sheetData>
    <row r="1" customFormat="false" ht="37.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</row>
    <row r="2" customFormat="false" ht="15" hidden="false" customHeight="fals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5" hidden="false" customHeight="false" outlineLevel="0" collapsed="false">
      <c r="A4" s="1"/>
      <c r="B4" s="4" t="s">
        <v>2</v>
      </c>
      <c r="C4" s="5" t="s">
        <v>3</v>
      </c>
      <c r="D4" s="1"/>
      <c r="E4" s="4" t="s">
        <v>4</v>
      </c>
      <c r="F4" s="5" t="s">
        <v>3</v>
      </c>
      <c r="G4" s="1"/>
      <c r="H4" s="6" t="s">
        <v>5</v>
      </c>
      <c r="I4" s="6"/>
      <c r="J4" s="6"/>
      <c r="K4" s="6"/>
      <c r="L4" s="6"/>
      <c r="M4" s="6"/>
      <c r="N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15" hidden="false" customHeight="false" outlineLevel="0" collapsed="false">
      <c r="A6" s="1"/>
      <c r="B6" s="7" t="s">
        <v>6</v>
      </c>
      <c r="C6" s="7"/>
      <c r="D6" s="7"/>
      <c r="E6" s="7" t="s">
        <v>7</v>
      </c>
      <c r="F6" s="7"/>
      <c r="G6" s="7"/>
      <c r="H6" s="7" t="s">
        <v>8</v>
      </c>
      <c r="I6" s="7"/>
      <c r="J6" s="7"/>
      <c r="K6" s="7" t="s">
        <v>9</v>
      </c>
      <c r="L6" s="7"/>
      <c r="M6" s="7"/>
      <c r="N6" s="1"/>
    </row>
    <row r="7" customFormat="false" ht="39.75" hidden="false" customHeight="true" outlineLevel="0" collapsed="false">
      <c r="A7" s="1"/>
      <c r="B7" s="8" t="n">
        <f aca="false">SUMIFS(Data!$E$2:$E$1000,Data!$B$2:$B$1000,Calculations!$B$2,Data!$C$2:$C$1000,Calculations!$B$3)/1000000</f>
        <v>189.400001</v>
      </c>
      <c r="C7" s="8"/>
      <c r="D7" s="8"/>
      <c r="E7" s="9" t="n">
        <f aca="false">SUMIFS(Data!$F$2:$F$1000,Data!$B$2:$B$1000,Calculations!$B$2,Data!$C$2:$C$1000,Calculations!$B$3)</f>
        <v>27282</v>
      </c>
      <c r="F7" s="9"/>
      <c r="G7" s="9"/>
      <c r="H7" s="10" t="n">
        <f aca="false">IFERROR($B$7*1000000/$E$7,0)</f>
        <v>6942.30631918481</v>
      </c>
      <c r="I7" s="10"/>
      <c r="J7" s="10"/>
      <c r="K7" s="11" t="n">
        <f aca="false">IFERROR($B$7/(SUMIFS(Data!$G$2:$G$1000,Data!$B$2:$B$1000,Calculations!$B$2,Data!$C$2:$C$1000,Calculations!$B$3)/1000000)-1,0)</f>
        <v>0.185032174030045</v>
      </c>
      <c r="L7" s="11"/>
      <c r="M7" s="11"/>
      <c r="N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2" t="s">
        <v>10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</sheetData>
  <mergeCells count="11">
    <mergeCell ref="B1:M1"/>
    <mergeCell ref="B2:M2"/>
    <mergeCell ref="H4:M4"/>
    <mergeCell ref="B6:D6"/>
    <mergeCell ref="E6:G6"/>
    <mergeCell ref="H6:J6"/>
    <mergeCell ref="K6:M6"/>
    <mergeCell ref="B7:D7"/>
    <mergeCell ref="E7:G7"/>
    <mergeCell ref="H7:J7"/>
    <mergeCell ref="K7:M7"/>
  </mergeCells>
  <conditionalFormatting sqref="K7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dataValidations count="2">
    <dataValidation allowBlank="false" errorStyle="stop" operator="between" showDropDown="false" showErrorMessage="false" showInputMessage="false" sqref="C4" type="list">
      <formula1>"All,NSW,Victoria,Queensland,W. Australia,N. Territory,Tasmania"</formula1>
      <formula2>0</formula2>
    </dataValidation>
    <dataValidation allowBlank="false" errorStyle="stop" operator="between" showDropDown="false" showErrorMessage="false" showInputMessage="false" sqref="F4" type="list">
      <formula1>"All,Shoes,Home,Kids,Socks"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13" t="s">
        <v>11</v>
      </c>
      <c r="B1" s="13" t="s">
        <v>2</v>
      </c>
      <c r="C1" s="13" t="s">
        <v>4</v>
      </c>
      <c r="D1" s="13" t="s">
        <v>12</v>
      </c>
      <c r="E1" s="13" t="s">
        <v>13</v>
      </c>
      <c r="F1" s="13" t="s">
        <v>14</v>
      </c>
      <c r="G1" s="13" t="s">
        <v>15</v>
      </c>
    </row>
    <row r="2" customFormat="false" ht="15" hidden="false" customHeight="false" outlineLevel="0" collapsed="false">
      <c r="A2" s="14" t="s">
        <v>16</v>
      </c>
      <c r="B2" s="14" t="s">
        <v>17</v>
      </c>
      <c r="C2" s="14" t="s">
        <v>18</v>
      </c>
      <c r="D2" s="14" t="s">
        <v>19</v>
      </c>
      <c r="E2" s="15" t="n">
        <v>2383290</v>
      </c>
      <c r="F2" s="16" t="n">
        <v>302</v>
      </c>
      <c r="G2" s="15" t="n">
        <v>1958332</v>
      </c>
    </row>
    <row r="3" customFormat="false" ht="15" hidden="false" customHeight="false" outlineLevel="0" collapsed="false">
      <c r="A3" s="14" t="s">
        <v>16</v>
      </c>
      <c r="B3" s="14" t="s">
        <v>17</v>
      </c>
      <c r="C3" s="14" t="s">
        <v>18</v>
      </c>
      <c r="D3" s="14" t="s">
        <v>20</v>
      </c>
      <c r="E3" s="15" t="n">
        <v>1588860</v>
      </c>
      <c r="F3" s="16" t="n">
        <v>201</v>
      </c>
      <c r="G3" s="15" t="n">
        <v>1305555</v>
      </c>
    </row>
    <row r="4" customFormat="false" ht="15" hidden="false" customHeight="false" outlineLevel="0" collapsed="false">
      <c r="A4" s="14" t="s">
        <v>21</v>
      </c>
      <c r="B4" s="14" t="s">
        <v>17</v>
      </c>
      <c r="C4" s="14" t="s">
        <v>18</v>
      </c>
      <c r="D4" s="14" t="s">
        <v>19</v>
      </c>
      <c r="E4" s="15" t="n">
        <v>2566620</v>
      </c>
      <c r="F4" s="16" t="n">
        <v>325</v>
      </c>
      <c r="G4" s="15" t="n">
        <v>2108973</v>
      </c>
    </row>
    <row r="5" customFormat="false" ht="15" hidden="false" customHeight="false" outlineLevel="0" collapsed="false">
      <c r="A5" s="14" t="s">
        <v>21</v>
      </c>
      <c r="B5" s="14" t="s">
        <v>17</v>
      </c>
      <c r="C5" s="14" t="s">
        <v>18</v>
      </c>
      <c r="D5" s="14" t="s">
        <v>20</v>
      </c>
      <c r="E5" s="15" t="n">
        <v>1711080</v>
      </c>
      <c r="F5" s="16" t="n">
        <v>217</v>
      </c>
      <c r="G5" s="15" t="n">
        <v>1405982</v>
      </c>
    </row>
    <row r="6" customFormat="false" ht="15" hidden="false" customHeight="false" outlineLevel="0" collapsed="false">
      <c r="A6" s="14" t="s">
        <v>22</v>
      </c>
      <c r="B6" s="14" t="s">
        <v>17</v>
      </c>
      <c r="C6" s="14" t="s">
        <v>18</v>
      </c>
      <c r="D6" s="14" t="s">
        <v>19</v>
      </c>
      <c r="E6" s="15" t="n">
        <v>2933280</v>
      </c>
      <c r="F6" s="16" t="n">
        <v>371</v>
      </c>
      <c r="G6" s="15" t="n">
        <v>2410255</v>
      </c>
    </row>
    <row r="7" customFormat="false" ht="15" hidden="false" customHeight="false" outlineLevel="0" collapsed="false">
      <c r="A7" s="14" t="s">
        <v>22</v>
      </c>
      <c r="B7" s="14" t="s">
        <v>17</v>
      </c>
      <c r="C7" s="14" t="s">
        <v>18</v>
      </c>
      <c r="D7" s="14" t="s">
        <v>20</v>
      </c>
      <c r="E7" s="15" t="n">
        <v>1955520</v>
      </c>
      <c r="F7" s="16" t="n">
        <v>248</v>
      </c>
      <c r="G7" s="15" t="n">
        <v>1606836</v>
      </c>
    </row>
    <row r="8" customFormat="false" ht="15" hidden="false" customHeight="false" outlineLevel="0" collapsed="false">
      <c r="A8" s="14" t="s">
        <v>23</v>
      </c>
      <c r="B8" s="14" t="s">
        <v>17</v>
      </c>
      <c r="C8" s="14" t="s">
        <v>18</v>
      </c>
      <c r="D8" s="14" t="s">
        <v>19</v>
      </c>
      <c r="E8" s="15" t="n">
        <v>3666600</v>
      </c>
      <c r="F8" s="16" t="n">
        <v>464</v>
      </c>
      <c r="G8" s="15" t="n">
        <v>3012818</v>
      </c>
    </row>
    <row r="9" customFormat="false" ht="15" hidden="false" customHeight="false" outlineLevel="0" collapsed="false">
      <c r="A9" s="14" t="s">
        <v>23</v>
      </c>
      <c r="B9" s="14" t="s">
        <v>17</v>
      </c>
      <c r="C9" s="14" t="s">
        <v>18</v>
      </c>
      <c r="D9" s="14" t="s">
        <v>20</v>
      </c>
      <c r="E9" s="15" t="n">
        <v>2444400</v>
      </c>
      <c r="F9" s="16" t="n">
        <v>309</v>
      </c>
      <c r="G9" s="15" t="n">
        <v>2008546</v>
      </c>
    </row>
    <row r="10" customFormat="false" ht="15" hidden="false" customHeight="false" outlineLevel="0" collapsed="false">
      <c r="A10" s="14" t="s">
        <v>24</v>
      </c>
      <c r="B10" s="14" t="s">
        <v>17</v>
      </c>
      <c r="C10" s="14" t="s">
        <v>18</v>
      </c>
      <c r="D10" s="14" t="s">
        <v>19</v>
      </c>
      <c r="E10" s="15" t="n">
        <v>3483270</v>
      </c>
      <c r="F10" s="16" t="n">
        <v>441</v>
      </c>
      <c r="G10" s="15" t="n">
        <v>2862177</v>
      </c>
    </row>
    <row r="11" customFormat="false" ht="15" hidden="false" customHeight="false" outlineLevel="0" collapsed="false">
      <c r="A11" s="14" t="s">
        <v>24</v>
      </c>
      <c r="B11" s="14" t="s">
        <v>17</v>
      </c>
      <c r="C11" s="14" t="s">
        <v>18</v>
      </c>
      <c r="D11" s="14" t="s">
        <v>20</v>
      </c>
      <c r="E11" s="15" t="n">
        <v>2322180</v>
      </c>
      <c r="F11" s="16" t="n">
        <v>294</v>
      </c>
      <c r="G11" s="15" t="n">
        <v>1908118</v>
      </c>
    </row>
    <row r="12" customFormat="false" ht="15" hidden="false" customHeight="false" outlineLevel="0" collapsed="false">
      <c r="A12" s="14" t="s">
        <v>25</v>
      </c>
      <c r="B12" s="14" t="s">
        <v>17</v>
      </c>
      <c r="C12" s="14" t="s">
        <v>18</v>
      </c>
      <c r="D12" s="14" t="s">
        <v>19</v>
      </c>
      <c r="E12" s="15" t="n">
        <v>3299940</v>
      </c>
      <c r="F12" s="16" t="n">
        <v>418</v>
      </c>
      <c r="G12" s="15" t="n">
        <v>2711537</v>
      </c>
    </row>
    <row r="13" customFormat="false" ht="15" hidden="false" customHeight="false" outlineLevel="0" collapsed="false">
      <c r="A13" s="14" t="s">
        <v>25</v>
      </c>
      <c r="B13" s="14" t="s">
        <v>17</v>
      </c>
      <c r="C13" s="14" t="s">
        <v>18</v>
      </c>
      <c r="D13" s="14" t="s">
        <v>20</v>
      </c>
      <c r="E13" s="15" t="n">
        <v>2199960</v>
      </c>
      <c r="F13" s="16" t="n">
        <v>278</v>
      </c>
      <c r="G13" s="15" t="n">
        <v>1807691</v>
      </c>
    </row>
    <row r="14" customFormat="false" ht="15" hidden="false" customHeight="false" outlineLevel="0" collapsed="false">
      <c r="A14" s="14" t="s">
        <v>16</v>
      </c>
      <c r="B14" s="14" t="s">
        <v>17</v>
      </c>
      <c r="C14" s="14" t="s">
        <v>26</v>
      </c>
      <c r="D14" s="14" t="s">
        <v>19</v>
      </c>
      <c r="E14" s="15" t="n">
        <v>1617232</v>
      </c>
      <c r="F14" s="16" t="n">
        <v>176</v>
      </c>
      <c r="G14" s="15" t="n">
        <v>1357308</v>
      </c>
    </row>
    <row r="15" customFormat="false" ht="15" hidden="false" customHeight="false" outlineLevel="0" collapsed="false">
      <c r="A15" s="14" t="s">
        <v>16</v>
      </c>
      <c r="B15" s="14" t="s">
        <v>17</v>
      </c>
      <c r="C15" s="14" t="s">
        <v>26</v>
      </c>
      <c r="D15" s="14" t="s">
        <v>20</v>
      </c>
      <c r="E15" s="15" t="n">
        <v>1220018</v>
      </c>
      <c r="F15" s="16" t="n">
        <v>133</v>
      </c>
      <c r="G15" s="15" t="n">
        <v>1023934</v>
      </c>
    </row>
    <row r="16" customFormat="false" ht="15" hidden="false" customHeight="false" outlineLevel="0" collapsed="false">
      <c r="A16" s="14" t="s">
        <v>21</v>
      </c>
      <c r="B16" s="14" t="s">
        <v>17</v>
      </c>
      <c r="C16" s="14" t="s">
        <v>26</v>
      </c>
      <c r="D16" s="14" t="s">
        <v>19</v>
      </c>
      <c r="E16" s="15" t="n">
        <v>1741635</v>
      </c>
      <c r="F16" s="16" t="n">
        <v>189</v>
      </c>
      <c r="G16" s="15" t="n">
        <v>1461716</v>
      </c>
    </row>
    <row r="17" customFormat="false" ht="15" hidden="false" customHeight="false" outlineLevel="0" collapsed="false">
      <c r="A17" s="14" t="s">
        <v>21</v>
      </c>
      <c r="B17" s="14" t="s">
        <v>17</v>
      </c>
      <c r="C17" s="14" t="s">
        <v>26</v>
      </c>
      <c r="D17" s="14" t="s">
        <v>20</v>
      </c>
      <c r="E17" s="15" t="n">
        <v>1313865</v>
      </c>
      <c r="F17" s="16" t="n">
        <v>143</v>
      </c>
      <c r="G17" s="15" t="n">
        <v>1102698</v>
      </c>
    </row>
    <row r="18" customFormat="false" ht="15" hidden="false" customHeight="false" outlineLevel="0" collapsed="false">
      <c r="A18" s="14" t="s">
        <v>22</v>
      </c>
      <c r="B18" s="14" t="s">
        <v>17</v>
      </c>
      <c r="C18" s="14" t="s">
        <v>26</v>
      </c>
      <c r="D18" s="14" t="s">
        <v>19</v>
      </c>
      <c r="E18" s="15" t="n">
        <v>1990440</v>
      </c>
      <c r="F18" s="16" t="n">
        <v>216</v>
      </c>
      <c r="G18" s="15" t="n">
        <v>1670533</v>
      </c>
    </row>
    <row r="19" customFormat="false" ht="15" hidden="false" customHeight="false" outlineLevel="0" collapsed="false">
      <c r="A19" s="14" t="s">
        <v>22</v>
      </c>
      <c r="B19" s="14" t="s">
        <v>17</v>
      </c>
      <c r="C19" s="14" t="s">
        <v>26</v>
      </c>
      <c r="D19" s="14" t="s">
        <v>20</v>
      </c>
      <c r="E19" s="15" t="n">
        <v>1501560</v>
      </c>
      <c r="F19" s="16" t="n">
        <v>163</v>
      </c>
      <c r="G19" s="15" t="n">
        <v>1260227</v>
      </c>
    </row>
    <row r="20" customFormat="false" ht="15" hidden="false" customHeight="false" outlineLevel="0" collapsed="false">
      <c r="A20" s="14" t="s">
        <v>23</v>
      </c>
      <c r="B20" s="14" t="s">
        <v>17</v>
      </c>
      <c r="C20" s="14" t="s">
        <v>26</v>
      </c>
      <c r="D20" s="14" t="s">
        <v>19</v>
      </c>
      <c r="E20" s="15" t="n">
        <v>2488050</v>
      </c>
      <c r="F20" s="16" t="n">
        <v>270</v>
      </c>
      <c r="G20" s="15" t="n">
        <v>2088166</v>
      </c>
    </row>
    <row r="21" customFormat="false" ht="15" hidden="false" customHeight="false" outlineLevel="0" collapsed="false">
      <c r="A21" s="14" t="s">
        <v>23</v>
      </c>
      <c r="B21" s="14" t="s">
        <v>17</v>
      </c>
      <c r="C21" s="14" t="s">
        <v>26</v>
      </c>
      <c r="D21" s="14" t="s">
        <v>20</v>
      </c>
      <c r="E21" s="15" t="n">
        <v>1876950</v>
      </c>
      <c r="F21" s="16" t="n">
        <v>204</v>
      </c>
      <c r="G21" s="15" t="n">
        <v>1575283</v>
      </c>
    </row>
    <row r="22" customFormat="false" ht="15" hidden="false" customHeight="false" outlineLevel="0" collapsed="false">
      <c r="A22" s="14" t="s">
        <v>24</v>
      </c>
      <c r="B22" s="14" t="s">
        <v>17</v>
      </c>
      <c r="C22" s="14" t="s">
        <v>26</v>
      </c>
      <c r="D22" s="14" t="s">
        <v>19</v>
      </c>
      <c r="E22" s="15" t="n">
        <v>2363648</v>
      </c>
      <c r="F22" s="16" t="n">
        <v>257</v>
      </c>
      <c r="G22" s="15" t="n">
        <v>1983758</v>
      </c>
    </row>
    <row r="23" customFormat="false" ht="15" hidden="false" customHeight="false" outlineLevel="0" collapsed="false">
      <c r="A23" s="14" t="s">
        <v>24</v>
      </c>
      <c r="B23" s="14" t="s">
        <v>17</v>
      </c>
      <c r="C23" s="14" t="s">
        <v>26</v>
      </c>
      <c r="D23" s="14" t="s">
        <v>20</v>
      </c>
      <c r="E23" s="15" t="n">
        <v>1783103</v>
      </c>
      <c r="F23" s="16" t="n">
        <v>194</v>
      </c>
      <c r="G23" s="15" t="n">
        <v>1496519</v>
      </c>
    </row>
    <row r="24" customFormat="false" ht="15" hidden="false" customHeight="false" outlineLevel="0" collapsed="false">
      <c r="A24" s="14" t="s">
        <v>25</v>
      </c>
      <c r="B24" s="14" t="s">
        <v>17</v>
      </c>
      <c r="C24" s="14" t="s">
        <v>26</v>
      </c>
      <c r="D24" s="14" t="s">
        <v>19</v>
      </c>
      <c r="E24" s="15" t="n">
        <v>2239245</v>
      </c>
      <c r="F24" s="16" t="n">
        <v>243</v>
      </c>
      <c r="G24" s="15" t="n">
        <v>1879350</v>
      </c>
    </row>
    <row r="25" customFormat="false" ht="15" hidden="false" customHeight="false" outlineLevel="0" collapsed="false">
      <c r="A25" s="14" t="s">
        <v>25</v>
      </c>
      <c r="B25" s="14" t="s">
        <v>17</v>
      </c>
      <c r="C25" s="14" t="s">
        <v>26</v>
      </c>
      <c r="D25" s="14" t="s">
        <v>20</v>
      </c>
      <c r="E25" s="15" t="n">
        <v>1689255</v>
      </c>
      <c r="F25" s="16" t="n">
        <v>184</v>
      </c>
      <c r="G25" s="15" t="n">
        <v>1417755</v>
      </c>
    </row>
    <row r="26" customFormat="false" ht="15" hidden="false" customHeight="false" outlineLevel="0" collapsed="false">
      <c r="A26" s="14" t="s">
        <v>16</v>
      </c>
      <c r="B26" s="14" t="s">
        <v>17</v>
      </c>
      <c r="C26" s="14" t="s">
        <v>27</v>
      </c>
      <c r="D26" s="14" t="s">
        <v>19</v>
      </c>
      <c r="E26" s="15" t="n">
        <v>1298326</v>
      </c>
      <c r="F26" s="16" t="n">
        <v>224</v>
      </c>
      <c r="G26" s="15" t="n">
        <v>1073884</v>
      </c>
    </row>
    <row r="27" customFormat="false" ht="15" hidden="false" customHeight="false" outlineLevel="0" collapsed="false">
      <c r="A27" s="14" t="s">
        <v>16</v>
      </c>
      <c r="B27" s="14" t="s">
        <v>17</v>
      </c>
      <c r="C27" s="14" t="s">
        <v>27</v>
      </c>
      <c r="D27" s="14" t="s">
        <v>20</v>
      </c>
      <c r="E27" s="15" t="n">
        <v>1198454</v>
      </c>
      <c r="F27" s="16" t="n">
        <v>207</v>
      </c>
      <c r="G27" s="15" t="n">
        <v>991277</v>
      </c>
    </row>
    <row r="28" customFormat="false" ht="15" hidden="false" customHeight="false" outlineLevel="0" collapsed="false">
      <c r="A28" s="14" t="s">
        <v>21</v>
      </c>
      <c r="B28" s="14" t="s">
        <v>17</v>
      </c>
      <c r="C28" s="14" t="s">
        <v>27</v>
      </c>
      <c r="D28" s="14" t="s">
        <v>19</v>
      </c>
      <c r="E28" s="15" t="n">
        <v>1398197</v>
      </c>
      <c r="F28" s="16" t="n">
        <v>241</v>
      </c>
      <c r="G28" s="15" t="n">
        <v>1156490</v>
      </c>
    </row>
    <row r="29" customFormat="false" ht="15" hidden="false" customHeight="false" outlineLevel="0" collapsed="false">
      <c r="A29" s="14" t="s">
        <v>21</v>
      </c>
      <c r="B29" s="14" t="s">
        <v>17</v>
      </c>
      <c r="C29" s="14" t="s">
        <v>27</v>
      </c>
      <c r="D29" s="14" t="s">
        <v>20</v>
      </c>
      <c r="E29" s="15" t="n">
        <v>1290643</v>
      </c>
      <c r="F29" s="16" t="n">
        <v>223</v>
      </c>
      <c r="G29" s="15" t="n">
        <v>1067530</v>
      </c>
    </row>
    <row r="30" customFormat="false" ht="15" hidden="false" customHeight="false" outlineLevel="0" collapsed="false">
      <c r="A30" s="14" t="s">
        <v>22</v>
      </c>
      <c r="B30" s="14" t="s">
        <v>17</v>
      </c>
      <c r="C30" s="14" t="s">
        <v>27</v>
      </c>
      <c r="D30" s="14" t="s">
        <v>19</v>
      </c>
      <c r="E30" s="15" t="n">
        <v>1597939</v>
      </c>
      <c r="F30" s="16" t="n">
        <v>276</v>
      </c>
      <c r="G30" s="15" t="n">
        <v>1321703</v>
      </c>
    </row>
    <row r="31" customFormat="false" ht="15" hidden="false" customHeight="false" outlineLevel="0" collapsed="false">
      <c r="A31" s="14" t="s">
        <v>22</v>
      </c>
      <c r="B31" s="14" t="s">
        <v>17</v>
      </c>
      <c r="C31" s="14" t="s">
        <v>27</v>
      </c>
      <c r="D31" s="14" t="s">
        <v>20</v>
      </c>
      <c r="E31" s="15" t="n">
        <v>1475021</v>
      </c>
      <c r="F31" s="16" t="n">
        <v>254</v>
      </c>
      <c r="G31" s="15" t="n">
        <v>1220034</v>
      </c>
    </row>
    <row r="32" customFormat="false" ht="15" hidden="false" customHeight="false" outlineLevel="0" collapsed="false">
      <c r="A32" s="14" t="s">
        <v>23</v>
      </c>
      <c r="B32" s="14" t="s">
        <v>17</v>
      </c>
      <c r="C32" s="14" t="s">
        <v>27</v>
      </c>
      <c r="D32" s="14" t="s">
        <v>19</v>
      </c>
      <c r="E32" s="15" t="n">
        <v>1997424</v>
      </c>
      <c r="F32" s="16" t="n">
        <v>344</v>
      </c>
      <c r="G32" s="15" t="n">
        <v>1652129</v>
      </c>
    </row>
    <row r="33" customFormat="false" ht="15" hidden="false" customHeight="false" outlineLevel="0" collapsed="false">
      <c r="A33" s="14" t="s">
        <v>23</v>
      </c>
      <c r="B33" s="14" t="s">
        <v>17</v>
      </c>
      <c r="C33" s="14" t="s">
        <v>27</v>
      </c>
      <c r="D33" s="14" t="s">
        <v>20</v>
      </c>
      <c r="E33" s="15" t="n">
        <v>1843776</v>
      </c>
      <c r="F33" s="16" t="n">
        <v>318</v>
      </c>
      <c r="G33" s="15" t="n">
        <v>1525042</v>
      </c>
    </row>
    <row r="34" customFormat="false" ht="15" hidden="false" customHeight="false" outlineLevel="0" collapsed="false">
      <c r="A34" s="14" t="s">
        <v>24</v>
      </c>
      <c r="B34" s="14" t="s">
        <v>17</v>
      </c>
      <c r="C34" s="14" t="s">
        <v>27</v>
      </c>
      <c r="D34" s="14" t="s">
        <v>19</v>
      </c>
      <c r="E34" s="15" t="n">
        <v>1897553</v>
      </c>
      <c r="F34" s="16" t="n">
        <v>327</v>
      </c>
      <c r="G34" s="15" t="n">
        <v>1569523</v>
      </c>
    </row>
    <row r="35" customFormat="false" ht="15" hidden="false" customHeight="false" outlineLevel="0" collapsed="false">
      <c r="A35" s="14" t="s">
        <v>24</v>
      </c>
      <c r="B35" s="14" t="s">
        <v>17</v>
      </c>
      <c r="C35" s="14" t="s">
        <v>27</v>
      </c>
      <c r="D35" s="14" t="s">
        <v>20</v>
      </c>
      <c r="E35" s="15" t="n">
        <v>1751587</v>
      </c>
      <c r="F35" s="16" t="n">
        <v>302</v>
      </c>
      <c r="G35" s="15" t="n">
        <v>1448790</v>
      </c>
    </row>
    <row r="36" customFormat="false" ht="15" hidden="false" customHeight="false" outlineLevel="0" collapsed="false">
      <c r="A36" s="14" t="s">
        <v>25</v>
      </c>
      <c r="B36" s="14" t="s">
        <v>17</v>
      </c>
      <c r="C36" s="14" t="s">
        <v>27</v>
      </c>
      <c r="D36" s="14" t="s">
        <v>19</v>
      </c>
      <c r="E36" s="15" t="n">
        <v>1797682</v>
      </c>
      <c r="F36" s="16" t="n">
        <v>310</v>
      </c>
      <c r="G36" s="15" t="n">
        <v>1486916</v>
      </c>
    </row>
    <row r="37" customFormat="false" ht="15" hidden="false" customHeight="false" outlineLevel="0" collapsed="false">
      <c r="A37" s="14" t="s">
        <v>25</v>
      </c>
      <c r="B37" s="14" t="s">
        <v>17</v>
      </c>
      <c r="C37" s="14" t="s">
        <v>27</v>
      </c>
      <c r="D37" s="14" t="s">
        <v>20</v>
      </c>
      <c r="E37" s="15" t="n">
        <v>1659398</v>
      </c>
      <c r="F37" s="16" t="n">
        <v>286</v>
      </c>
      <c r="G37" s="15" t="n">
        <v>1372538</v>
      </c>
    </row>
    <row r="38" customFormat="false" ht="15" hidden="false" customHeight="false" outlineLevel="0" collapsed="false">
      <c r="A38" s="14" t="s">
        <v>16</v>
      </c>
      <c r="B38" s="14" t="s">
        <v>17</v>
      </c>
      <c r="C38" s="14" t="s">
        <v>28</v>
      </c>
      <c r="D38" s="14" t="s">
        <v>19</v>
      </c>
      <c r="E38" s="15" t="n">
        <v>1062266</v>
      </c>
      <c r="F38" s="16" t="n">
        <v>204</v>
      </c>
      <c r="G38" s="15" t="n">
        <v>909085</v>
      </c>
    </row>
    <row r="39" customFormat="false" ht="15" hidden="false" customHeight="false" outlineLevel="0" collapsed="false">
      <c r="A39" s="14" t="s">
        <v>16</v>
      </c>
      <c r="B39" s="14" t="s">
        <v>17</v>
      </c>
      <c r="C39" s="14" t="s">
        <v>28</v>
      </c>
      <c r="D39" s="14" t="s">
        <v>20</v>
      </c>
      <c r="E39" s="15" t="n">
        <v>980554</v>
      </c>
      <c r="F39" s="16" t="n">
        <v>189</v>
      </c>
      <c r="G39" s="15" t="n">
        <v>839156</v>
      </c>
    </row>
    <row r="40" customFormat="false" ht="15" hidden="false" customHeight="false" outlineLevel="0" collapsed="false">
      <c r="A40" s="14" t="s">
        <v>21</v>
      </c>
      <c r="B40" s="14" t="s">
        <v>17</v>
      </c>
      <c r="C40" s="14" t="s">
        <v>28</v>
      </c>
      <c r="D40" s="14" t="s">
        <v>19</v>
      </c>
      <c r="E40" s="15" t="n">
        <v>1143979</v>
      </c>
      <c r="F40" s="16" t="n">
        <v>220</v>
      </c>
      <c r="G40" s="15" t="n">
        <v>979015</v>
      </c>
    </row>
    <row r="41" customFormat="false" ht="15" hidden="false" customHeight="false" outlineLevel="0" collapsed="false">
      <c r="A41" s="14" t="s">
        <v>21</v>
      </c>
      <c r="B41" s="14" t="s">
        <v>17</v>
      </c>
      <c r="C41" s="14" t="s">
        <v>28</v>
      </c>
      <c r="D41" s="14" t="s">
        <v>20</v>
      </c>
      <c r="E41" s="15" t="n">
        <v>1055981</v>
      </c>
      <c r="F41" s="16" t="n">
        <v>203</v>
      </c>
      <c r="G41" s="15" t="n">
        <v>903706</v>
      </c>
    </row>
    <row r="42" customFormat="false" ht="15" hidden="false" customHeight="false" outlineLevel="0" collapsed="false">
      <c r="A42" s="14" t="s">
        <v>22</v>
      </c>
      <c r="B42" s="14" t="s">
        <v>17</v>
      </c>
      <c r="C42" s="14" t="s">
        <v>28</v>
      </c>
      <c r="D42" s="14" t="s">
        <v>19</v>
      </c>
      <c r="E42" s="15" t="n">
        <v>1307405</v>
      </c>
      <c r="F42" s="16" t="n">
        <v>251</v>
      </c>
      <c r="G42" s="15" t="n">
        <v>1118874</v>
      </c>
    </row>
    <row r="43" customFormat="false" ht="15" hidden="false" customHeight="false" outlineLevel="0" collapsed="false">
      <c r="A43" s="14" t="s">
        <v>22</v>
      </c>
      <c r="B43" s="14" t="s">
        <v>17</v>
      </c>
      <c r="C43" s="14" t="s">
        <v>28</v>
      </c>
      <c r="D43" s="14" t="s">
        <v>20</v>
      </c>
      <c r="E43" s="15" t="n">
        <v>1206835</v>
      </c>
      <c r="F43" s="16" t="n">
        <v>232</v>
      </c>
      <c r="G43" s="15" t="n">
        <v>1032807</v>
      </c>
    </row>
    <row r="44" customFormat="false" ht="15" hidden="false" customHeight="false" outlineLevel="0" collapsed="false">
      <c r="A44" s="14" t="s">
        <v>23</v>
      </c>
      <c r="B44" s="14" t="s">
        <v>17</v>
      </c>
      <c r="C44" s="14" t="s">
        <v>28</v>
      </c>
      <c r="D44" s="14" t="s">
        <v>19</v>
      </c>
      <c r="E44" s="15" t="n">
        <v>1634256</v>
      </c>
      <c r="F44" s="16" t="n">
        <v>314</v>
      </c>
      <c r="G44" s="15" t="n">
        <v>1398593</v>
      </c>
    </row>
    <row r="45" customFormat="false" ht="15" hidden="false" customHeight="false" outlineLevel="0" collapsed="false">
      <c r="A45" s="14" t="s">
        <v>23</v>
      </c>
      <c r="B45" s="14" t="s">
        <v>17</v>
      </c>
      <c r="C45" s="14" t="s">
        <v>28</v>
      </c>
      <c r="D45" s="14" t="s">
        <v>20</v>
      </c>
      <c r="E45" s="15" t="n">
        <v>1508544</v>
      </c>
      <c r="F45" s="16" t="n">
        <v>290</v>
      </c>
      <c r="G45" s="15" t="n">
        <v>1291009</v>
      </c>
    </row>
    <row r="46" customFormat="false" ht="15" hidden="false" customHeight="false" outlineLevel="0" collapsed="false">
      <c r="A46" s="14" t="s">
        <v>24</v>
      </c>
      <c r="B46" s="14" t="s">
        <v>17</v>
      </c>
      <c r="C46" s="14" t="s">
        <v>28</v>
      </c>
      <c r="D46" s="14" t="s">
        <v>19</v>
      </c>
      <c r="E46" s="15" t="n">
        <v>1552543</v>
      </c>
      <c r="F46" s="16" t="n">
        <v>299</v>
      </c>
      <c r="G46" s="15" t="n">
        <v>1328663</v>
      </c>
    </row>
    <row r="47" customFormat="false" ht="15" hidden="false" customHeight="false" outlineLevel="0" collapsed="false">
      <c r="A47" s="14" t="s">
        <v>24</v>
      </c>
      <c r="B47" s="14" t="s">
        <v>17</v>
      </c>
      <c r="C47" s="14" t="s">
        <v>28</v>
      </c>
      <c r="D47" s="14" t="s">
        <v>20</v>
      </c>
      <c r="E47" s="15" t="n">
        <v>1433117</v>
      </c>
      <c r="F47" s="16" t="n">
        <v>276</v>
      </c>
      <c r="G47" s="15" t="n">
        <v>1226459</v>
      </c>
    </row>
    <row r="48" customFormat="false" ht="15" hidden="false" customHeight="false" outlineLevel="0" collapsed="false">
      <c r="A48" s="14" t="s">
        <v>25</v>
      </c>
      <c r="B48" s="14" t="s">
        <v>17</v>
      </c>
      <c r="C48" s="14" t="s">
        <v>28</v>
      </c>
      <c r="D48" s="14" t="s">
        <v>19</v>
      </c>
      <c r="E48" s="15" t="n">
        <v>1470830</v>
      </c>
      <c r="F48" s="16" t="n">
        <v>283</v>
      </c>
      <c r="G48" s="15" t="n">
        <v>1258734</v>
      </c>
    </row>
    <row r="49" customFormat="false" ht="15" hidden="false" customHeight="false" outlineLevel="0" collapsed="false">
      <c r="A49" s="14" t="s">
        <v>25</v>
      </c>
      <c r="B49" s="14" t="s">
        <v>17</v>
      </c>
      <c r="C49" s="14" t="s">
        <v>28</v>
      </c>
      <c r="D49" s="14" t="s">
        <v>20</v>
      </c>
      <c r="E49" s="15" t="n">
        <v>1357690</v>
      </c>
      <c r="F49" s="16" t="n">
        <v>261</v>
      </c>
      <c r="G49" s="15" t="n">
        <v>1161908</v>
      </c>
    </row>
    <row r="50" customFormat="false" ht="15" hidden="false" customHeight="false" outlineLevel="0" collapsed="false">
      <c r="A50" s="14" t="s">
        <v>16</v>
      </c>
      <c r="B50" s="14" t="s">
        <v>29</v>
      </c>
      <c r="C50" s="14" t="s">
        <v>18</v>
      </c>
      <c r="D50" s="14" t="s">
        <v>19</v>
      </c>
      <c r="E50" s="15" t="n">
        <v>1274910</v>
      </c>
      <c r="F50" s="16" t="n">
        <v>161</v>
      </c>
      <c r="G50" s="15" t="n">
        <v>1069555</v>
      </c>
    </row>
    <row r="51" customFormat="false" ht="15" hidden="false" customHeight="false" outlineLevel="0" collapsed="false">
      <c r="A51" s="14" t="s">
        <v>16</v>
      </c>
      <c r="B51" s="14" t="s">
        <v>29</v>
      </c>
      <c r="C51" s="14" t="s">
        <v>18</v>
      </c>
      <c r="D51" s="14" t="s">
        <v>20</v>
      </c>
      <c r="E51" s="15" t="n">
        <v>849940</v>
      </c>
      <c r="F51" s="16" t="n">
        <v>108</v>
      </c>
      <c r="G51" s="15" t="n">
        <v>713037</v>
      </c>
    </row>
    <row r="52" customFormat="false" ht="15" hidden="false" customHeight="false" outlineLevel="0" collapsed="false">
      <c r="A52" s="14" t="s">
        <v>21</v>
      </c>
      <c r="B52" s="14" t="s">
        <v>29</v>
      </c>
      <c r="C52" s="14" t="s">
        <v>18</v>
      </c>
      <c r="D52" s="14" t="s">
        <v>19</v>
      </c>
      <c r="E52" s="15" t="n">
        <v>1372980</v>
      </c>
      <c r="F52" s="16" t="n">
        <v>174</v>
      </c>
      <c r="G52" s="15" t="n">
        <v>1151829</v>
      </c>
    </row>
    <row r="53" customFormat="false" ht="15" hidden="false" customHeight="false" outlineLevel="0" collapsed="false">
      <c r="A53" s="14" t="s">
        <v>21</v>
      </c>
      <c r="B53" s="14" t="s">
        <v>29</v>
      </c>
      <c r="C53" s="14" t="s">
        <v>18</v>
      </c>
      <c r="D53" s="14" t="s">
        <v>20</v>
      </c>
      <c r="E53" s="15" t="n">
        <v>915320</v>
      </c>
      <c r="F53" s="16" t="n">
        <v>116</v>
      </c>
      <c r="G53" s="15" t="n">
        <v>767886</v>
      </c>
    </row>
    <row r="54" customFormat="false" ht="15" hidden="false" customHeight="false" outlineLevel="0" collapsed="false">
      <c r="A54" s="14" t="s">
        <v>22</v>
      </c>
      <c r="B54" s="14" t="s">
        <v>29</v>
      </c>
      <c r="C54" s="14" t="s">
        <v>18</v>
      </c>
      <c r="D54" s="14" t="s">
        <v>19</v>
      </c>
      <c r="E54" s="15" t="n">
        <v>1569120</v>
      </c>
      <c r="F54" s="16" t="n">
        <v>199</v>
      </c>
      <c r="G54" s="15" t="n">
        <v>1316376</v>
      </c>
    </row>
    <row r="55" customFormat="false" ht="15" hidden="false" customHeight="false" outlineLevel="0" collapsed="false">
      <c r="A55" s="14" t="s">
        <v>22</v>
      </c>
      <c r="B55" s="14" t="s">
        <v>29</v>
      </c>
      <c r="C55" s="14" t="s">
        <v>18</v>
      </c>
      <c r="D55" s="14" t="s">
        <v>20</v>
      </c>
      <c r="E55" s="15" t="n">
        <v>1046080</v>
      </c>
      <c r="F55" s="16" t="n">
        <v>132</v>
      </c>
      <c r="G55" s="15" t="n">
        <v>877584</v>
      </c>
    </row>
    <row r="56" customFormat="false" ht="15" hidden="false" customHeight="false" outlineLevel="0" collapsed="false">
      <c r="A56" s="14" t="s">
        <v>23</v>
      </c>
      <c r="B56" s="14" t="s">
        <v>29</v>
      </c>
      <c r="C56" s="14" t="s">
        <v>18</v>
      </c>
      <c r="D56" s="14" t="s">
        <v>19</v>
      </c>
      <c r="E56" s="15" t="n">
        <v>1961400</v>
      </c>
      <c r="F56" s="16" t="n">
        <v>248</v>
      </c>
      <c r="G56" s="15" t="n">
        <v>1645470</v>
      </c>
    </row>
    <row r="57" customFormat="false" ht="15" hidden="false" customHeight="false" outlineLevel="0" collapsed="false">
      <c r="A57" s="14" t="s">
        <v>23</v>
      </c>
      <c r="B57" s="14" t="s">
        <v>29</v>
      </c>
      <c r="C57" s="14" t="s">
        <v>18</v>
      </c>
      <c r="D57" s="14" t="s">
        <v>20</v>
      </c>
      <c r="E57" s="15" t="n">
        <v>1307600</v>
      </c>
      <c r="F57" s="16" t="n">
        <v>166</v>
      </c>
      <c r="G57" s="15" t="n">
        <v>1096980</v>
      </c>
    </row>
    <row r="58" customFormat="false" ht="15" hidden="false" customHeight="false" outlineLevel="0" collapsed="false">
      <c r="A58" s="14" t="s">
        <v>24</v>
      </c>
      <c r="B58" s="14" t="s">
        <v>29</v>
      </c>
      <c r="C58" s="14" t="s">
        <v>18</v>
      </c>
      <c r="D58" s="14" t="s">
        <v>19</v>
      </c>
      <c r="E58" s="15" t="n">
        <v>1863330</v>
      </c>
      <c r="F58" s="16" t="n">
        <v>236</v>
      </c>
      <c r="G58" s="15" t="n">
        <v>1563196</v>
      </c>
    </row>
    <row r="59" customFormat="false" ht="15" hidden="false" customHeight="false" outlineLevel="0" collapsed="false">
      <c r="A59" s="14" t="s">
        <v>24</v>
      </c>
      <c r="B59" s="14" t="s">
        <v>29</v>
      </c>
      <c r="C59" s="14" t="s">
        <v>18</v>
      </c>
      <c r="D59" s="14" t="s">
        <v>20</v>
      </c>
      <c r="E59" s="15" t="n">
        <v>1242220</v>
      </c>
      <c r="F59" s="16" t="n">
        <v>157</v>
      </c>
      <c r="G59" s="15" t="n">
        <v>1042131</v>
      </c>
    </row>
    <row r="60" customFormat="false" ht="15" hidden="false" customHeight="false" outlineLevel="0" collapsed="false">
      <c r="A60" s="14" t="s">
        <v>25</v>
      </c>
      <c r="B60" s="14" t="s">
        <v>29</v>
      </c>
      <c r="C60" s="14" t="s">
        <v>18</v>
      </c>
      <c r="D60" s="14" t="s">
        <v>19</v>
      </c>
      <c r="E60" s="15" t="n">
        <v>1765260</v>
      </c>
      <c r="F60" s="16" t="n">
        <v>223</v>
      </c>
      <c r="G60" s="15" t="n">
        <v>1480923</v>
      </c>
    </row>
    <row r="61" customFormat="false" ht="15" hidden="false" customHeight="false" outlineLevel="0" collapsed="false">
      <c r="A61" s="14" t="s">
        <v>25</v>
      </c>
      <c r="B61" s="14" t="s">
        <v>29</v>
      </c>
      <c r="C61" s="14" t="s">
        <v>18</v>
      </c>
      <c r="D61" s="14" t="s">
        <v>20</v>
      </c>
      <c r="E61" s="15" t="n">
        <v>1176840</v>
      </c>
      <c r="F61" s="16" t="n">
        <v>149</v>
      </c>
      <c r="G61" s="15" t="n">
        <v>987282</v>
      </c>
    </row>
    <row r="62" customFormat="false" ht="15" hidden="false" customHeight="false" outlineLevel="0" collapsed="false">
      <c r="A62" s="14" t="s">
        <v>16</v>
      </c>
      <c r="B62" s="14" t="s">
        <v>29</v>
      </c>
      <c r="C62" s="14" t="s">
        <v>26</v>
      </c>
      <c r="D62" s="14" t="s">
        <v>19</v>
      </c>
      <c r="E62" s="15" t="n">
        <v>865117</v>
      </c>
      <c r="F62" s="16" t="n">
        <v>94</v>
      </c>
      <c r="G62" s="15" t="n">
        <v>741635</v>
      </c>
    </row>
    <row r="63" customFormat="false" ht="15" hidden="false" customHeight="false" outlineLevel="0" collapsed="false">
      <c r="A63" s="14" t="s">
        <v>16</v>
      </c>
      <c r="B63" s="14" t="s">
        <v>29</v>
      </c>
      <c r="C63" s="14" t="s">
        <v>26</v>
      </c>
      <c r="D63" s="14" t="s">
        <v>20</v>
      </c>
      <c r="E63" s="15" t="n">
        <v>652633</v>
      </c>
      <c r="F63" s="16" t="n">
        <v>71</v>
      </c>
      <c r="G63" s="15" t="n">
        <v>559479</v>
      </c>
    </row>
    <row r="64" customFormat="false" ht="15" hidden="false" customHeight="false" outlineLevel="0" collapsed="false">
      <c r="A64" s="14" t="s">
        <v>21</v>
      </c>
      <c r="B64" s="14" t="s">
        <v>29</v>
      </c>
      <c r="C64" s="14" t="s">
        <v>26</v>
      </c>
      <c r="D64" s="14" t="s">
        <v>19</v>
      </c>
      <c r="E64" s="15" t="n">
        <v>931665</v>
      </c>
      <c r="F64" s="16" t="n">
        <v>101</v>
      </c>
      <c r="G64" s="15" t="n">
        <v>798684</v>
      </c>
    </row>
    <row r="65" customFormat="false" ht="15" hidden="false" customHeight="false" outlineLevel="0" collapsed="false">
      <c r="A65" s="14" t="s">
        <v>21</v>
      </c>
      <c r="B65" s="14" t="s">
        <v>29</v>
      </c>
      <c r="C65" s="14" t="s">
        <v>26</v>
      </c>
      <c r="D65" s="14" t="s">
        <v>20</v>
      </c>
      <c r="E65" s="15" t="n">
        <v>702835</v>
      </c>
      <c r="F65" s="16" t="n">
        <v>76</v>
      </c>
      <c r="G65" s="15" t="n">
        <v>602516</v>
      </c>
    </row>
    <row r="66" customFormat="false" ht="15" hidden="false" customHeight="false" outlineLevel="0" collapsed="false">
      <c r="A66" s="14" t="s">
        <v>22</v>
      </c>
      <c r="B66" s="14" t="s">
        <v>29</v>
      </c>
      <c r="C66" s="14" t="s">
        <v>26</v>
      </c>
      <c r="D66" s="14" t="s">
        <v>19</v>
      </c>
      <c r="E66" s="15" t="n">
        <v>1064760</v>
      </c>
      <c r="F66" s="16" t="n">
        <v>116</v>
      </c>
      <c r="G66" s="15" t="n">
        <v>912782</v>
      </c>
    </row>
    <row r="67" customFormat="false" ht="15" hidden="false" customHeight="false" outlineLevel="0" collapsed="false">
      <c r="A67" s="14" t="s">
        <v>22</v>
      </c>
      <c r="B67" s="14" t="s">
        <v>29</v>
      </c>
      <c r="C67" s="14" t="s">
        <v>26</v>
      </c>
      <c r="D67" s="14" t="s">
        <v>20</v>
      </c>
      <c r="E67" s="15" t="n">
        <v>803240</v>
      </c>
      <c r="F67" s="16" t="n">
        <v>87</v>
      </c>
      <c r="G67" s="15" t="n">
        <v>688590</v>
      </c>
    </row>
    <row r="68" customFormat="false" ht="15" hidden="false" customHeight="false" outlineLevel="0" collapsed="false">
      <c r="A68" s="14" t="s">
        <v>23</v>
      </c>
      <c r="B68" s="14" t="s">
        <v>29</v>
      </c>
      <c r="C68" s="14" t="s">
        <v>26</v>
      </c>
      <c r="D68" s="14" t="s">
        <v>19</v>
      </c>
      <c r="E68" s="15" t="n">
        <v>1330950</v>
      </c>
      <c r="F68" s="16" t="n">
        <v>145</v>
      </c>
      <c r="G68" s="15" t="n">
        <v>1140977</v>
      </c>
    </row>
    <row r="69" customFormat="false" ht="15" hidden="false" customHeight="false" outlineLevel="0" collapsed="false">
      <c r="A69" s="14" t="s">
        <v>23</v>
      </c>
      <c r="B69" s="14" t="s">
        <v>29</v>
      </c>
      <c r="C69" s="14" t="s">
        <v>26</v>
      </c>
      <c r="D69" s="14" t="s">
        <v>20</v>
      </c>
      <c r="E69" s="15" t="n">
        <v>1004050</v>
      </c>
      <c r="F69" s="16" t="n">
        <v>109</v>
      </c>
      <c r="G69" s="15" t="n">
        <v>860737</v>
      </c>
    </row>
    <row r="70" customFormat="false" ht="15" hidden="false" customHeight="false" outlineLevel="0" collapsed="false">
      <c r="A70" s="14" t="s">
        <v>24</v>
      </c>
      <c r="B70" s="14" t="s">
        <v>29</v>
      </c>
      <c r="C70" s="14" t="s">
        <v>26</v>
      </c>
      <c r="D70" s="14" t="s">
        <v>19</v>
      </c>
      <c r="E70" s="15" t="n">
        <v>1264402</v>
      </c>
      <c r="F70" s="16" t="n">
        <v>137</v>
      </c>
      <c r="G70" s="15" t="n">
        <v>1083928</v>
      </c>
    </row>
    <row r="71" customFormat="false" ht="15" hidden="false" customHeight="false" outlineLevel="0" collapsed="false">
      <c r="A71" s="14" t="s">
        <v>24</v>
      </c>
      <c r="B71" s="14" t="s">
        <v>29</v>
      </c>
      <c r="C71" s="14" t="s">
        <v>26</v>
      </c>
      <c r="D71" s="14" t="s">
        <v>20</v>
      </c>
      <c r="E71" s="15" t="n">
        <v>953848</v>
      </c>
      <c r="F71" s="16" t="n">
        <v>104</v>
      </c>
      <c r="G71" s="15" t="n">
        <v>817700</v>
      </c>
    </row>
    <row r="72" customFormat="false" ht="15" hidden="false" customHeight="false" outlineLevel="0" collapsed="false">
      <c r="A72" s="14" t="s">
        <v>25</v>
      </c>
      <c r="B72" s="14" t="s">
        <v>29</v>
      </c>
      <c r="C72" s="14" t="s">
        <v>26</v>
      </c>
      <c r="D72" s="14" t="s">
        <v>19</v>
      </c>
      <c r="E72" s="15" t="n">
        <v>1197855</v>
      </c>
      <c r="F72" s="16" t="n">
        <v>130</v>
      </c>
      <c r="G72" s="15" t="n">
        <v>1026880</v>
      </c>
    </row>
    <row r="73" customFormat="false" ht="15" hidden="false" customHeight="false" outlineLevel="0" collapsed="false">
      <c r="A73" s="14" t="s">
        <v>25</v>
      </c>
      <c r="B73" s="14" t="s">
        <v>29</v>
      </c>
      <c r="C73" s="14" t="s">
        <v>26</v>
      </c>
      <c r="D73" s="14" t="s">
        <v>20</v>
      </c>
      <c r="E73" s="15" t="n">
        <v>903645</v>
      </c>
      <c r="F73" s="16" t="n">
        <v>98</v>
      </c>
      <c r="G73" s="15" t="n">
        <v>774664</v>
      </c>
    </row>
    <row r="74" customFormat="false" ht="15" hidden="false" customHeight="false" outlineLevel="0" collapsed="false">
      <c r="A74" s="14" t="s">
        <v>16</v>
      </c>
      <c r="B74" s="14" t="s">
        <v>29</v>
      </c>
      <c r="C74" s="14" t="s">
        <v>27</v>
      </c>
      <c r="D74" s="14" t="s">
        <v>19</v>
      </c>
      <c r="E74" s="15" t="n">
        <v>694522</v>
      </c>
      <c r="F74" s="16" t="n">
        <v>120</v>
      </c>
      <c r="G74" s="15" t="n">
        <v>586590</v>
      </c>
    </row>
    <row r="75" customFormat="false" ht="15" hidden="false" customHeight="false" outlineLevel="0" collapsed="false">
      <c r="A75" s="14" t="s">
        <v>16</v>
      </c>
      <c r="B75" s="14" t="s">
        <v>29</v>
      </c>
      <c r="C75" s="14" t="s">
        <v>27</v>
      </c>
      <c r="D75" s="14" t="s">
        <v>20</v>
      </c>
      <c r="E75" s="15" t="n">
        <v>641098</v>
      </c>
      <c r="F75" s="16" t="n">
        <v>111</v>
      </c>
      <c r="G75" s="15" t="n">
        <v>541468</v>
      </c>
    </row>
    <row r="76" customFormat="false" ht="15" hidden="false" customHeight="false" outlineLevel="0" collapsed="false">
      <c r="A76" s="14" t="s">
        <v>21</v>
      </c>
      <c r="B76" s="14" t="s">
        <v>29</v>
      </c>
      <c r="C76" s="14" t="s">
        <v>27</v>
      </c>
      <c r="D76" s="14" t="s">
        <v>19</v>
      </c>
      <c r="E76" s="15" t="n">
        <v>747947</v>
      </c>
      <c r="F76" s="16" t="n">
        <v>129</v>
      </c>
      <c r="G76" s="15" t="n">
        <v>631712</v>
      </c>
    </row>
    <row r="77" customFormat="false" ht="15" hidden="false" customHeight="false" outlineLevel="0" collapsed="false">
      <c r="A77" s="14" t="s">
        <v>21</v>
      </c>
      <c r="B77" s="14" t="s">
        <v>29</v>
      </c>
      <c r="C77" s="14" t="s">
        <v>27</v>
      </c>
      <c r="D77" s="14" t="s">
        <v>20</v>
      </c>
      <c r="E77" s="15" t="n">
        <v>690413</v>
      </c>
      <c r="F77" s="16" t="n">
        <v>119</v>
      </c>
      <c r="G77" s="15" t="n">
        <v>583119</v>
      </c>
    </row>
    <row r="78" customFormat="false" ht="15" hidden="false" customHeight="false" outlineLevel="0" collapsed="false">
      <c r="A78" s="14" t="s">
        <v>22</v>
      </c>
      <c r="B78" s="14" t="s">
        <v>29</v>
      </c>
      <c r="C78" s="14" t="s">
        <v>27</v>
      </c>
      <c r="D78" s="14" t="s">
        <v>19</v>
      </c>
      <c r="E78" s="15" t="n">
        <v>854797</v>
      </c>
      <c r="F78" s="16" t="n">
        <v>147</v>
      </c>
      <c r="G78" s="15" t="n">
        <v>721957</v>
      </c>
    </row>
    <row r="79" customFormat="false" ht="15" hidden="false" customHeight="false" outlineLevel="0" collapsed="false">
      <c r="A79" s="14" t="s">
        <v>22</v>
      </c>
      <c r="B79" s="14" t="s">
        <v>29</v>
      </c>
      <c r="C79" s="14" t="s">
        <v>27</v>
      </c>
      <c r="D79" s="14" t="s">
        <v>20</v>
      </c>
      <c r="E79" s="15" t="n">
        <v>789043</v>
      </c>
      <c r="F79" s="16" t="n">
        <v>136</v>
      </c>
      <c r="G79" s="15" t="n">
        <v>666422</v>
      </c>
    </row>
    <row r="80" customFormat="false" ht="15" hidden="false" customHeight="false" outlineLevel="0" collapsed="false">
      <c r="A80" s="14" t="s">
        <v>23</v>
      </c>
      <c r="B80" s="14" t="s">
        <v>29</v>
      </c>
      <c r="C80" s="14" t="s">
        <v>27</v>
      </c>
      <c r="D80" s="14" t="s">
        <v>19</v>
      </c>
      <c r="E80" s="15" t="n">
        <v>1068496</v>
      </c>
      <c r="F80" s="16" t="n">
        <v>184</v>
      </c>
      <c r="G80" s="15" t="n">
        <v>902446</v>
      </c>
    </row>
    <row r="81" customFormat="false" ht="15" hidden="false" customHeight="false" outlineLevel="0" collapsed="false">
      <c r="A81" s="14" t="s">
        <v>23</v>
      </c>
      <c r="B81" s="14" t="s">
        <v>29</v>
      </c>
      <c r="C81" s="14" t="s">
        <v>27</v>
      </c>
      <c r="D81" s="14" t="s">
        <v>20</v>
      </c>
      <c r="E81" s="15" t="n">
        <v>986304</v>
      </c>
      <c r="F81" s="16" t="n">
        <v>170</v>
      </c>
      <c r="G81" s="15" t="n">
        <v>833027</v>
      </c>
    </row>
    <row r="82" customFormat="false" ht="15" hidden="false" customHeight="false" outlineLevel="0" collapsed="false">
      <c r="A82" s="14" t="s">
        <v>24</v>
      </c>
      <c r="B82" s="14" t="s">
        <v>29</v>
      </c>
      <c r="C82" s="14" t="s">
        <v>27</v>
      </c>
      <c r="D82" s="14" t="s">
        <v>19</v>
      </c>
      <c r="E82" s="15" t="n">
        <v>1015071</v>
      </c>
      <c r="F82" s="16" t="n">
        <v>175</v>
      </c>
      <c r="G82" s="15" t="n">
        <v>857324</v>
      </c>
    </row>
    <row r="83" customFormat="false" ht="15" hidden="false" customHeight="false" outlineLevel="0" collapsed="false">
      <c r="A83" s="14" t="s">
        <v>24</v>
      </c>
      <c r="B83" s="14" t="s">
        <v>29</v>
      </c>
      <c r="C83" s="14" t="s">
        <v>27</v>
      </c>
      <c r="D83" s="14" t="s">
        <v>20</v>
      </c>
      <c r="E83" s="15" t="n">
        <v>936989</v>
      </c>
      <c r="F83" s="16" t="n">
        <v>162</v>
      </c>
      <c r="G83" s="15" t="n">
        <v>791376</v>
      </c>
    </row>
    <row r="84" customFormat="false" ht="15" hidden="false" customHeight="false" outlineLevel="0" collapsed="false">
      <c r="A84" s="14" t="s">
        <v>25</v>
      </c>
      <c r="B84" s="14" t="s">
        <v>29</v>
      </c>
      <c r="C84" s="14" t="s">
        <v>27</v>
      </c>
      <c r="D84" s="14" t="s">
        <v>19</v>
      </c>
      <c r="E84" s="15" t="n">
        <v>961646</v>
      </c>
      <c r="F84" s="16" t="n">
        <v>166</v>
      </c>
      <c r="G84" s="15" t="n">
        <v>812201</v>
      </c>
    </row>
    <row r="85" customFormat="false" ht="15" hidden="false" customHeight="false" outlineLevel="0" collapsed="false">
      <c r="A85" s="14" t="s">
        <v>25</v>
      </c>
      <c r="B85" s="14" t="s">
        <v>29</v>
      </c>
      <c r="C85" s="14" t="s">
        <v>27</v>
      </c>
      <c r="D85" s="14" t="s">
        <v>20</v>
      </c>
      <c r="E85" s="15" t="n">
        <v>887674</v>
      </c>
      <c r="F85" s="16" t="n">
        <v>153</v>
      </c>
      <c r="G85" s="15" t="n">
        <v>749724</v>
      </c>
    </row>
    <row r="86" customFormat="false" ht="15" hidden="false" customHeight="false" outlineLevel="0" collapsed="false">
      <c r="A86" s="14" t="s">
        <v>16</v>
      </c>
      <c r="B86" s="14" t="s">
        <v>29</v>
      </c>
      <c r="C86" s="14" t="s">
        <v>28</v>
      </c>
      <c r="D86" s="14" t="s">
        <v>19</v>
      </c>
      <c r="E86" s="15" t="n">
        <v>568246</v>
      </c>
      <c r="F86" s="16" t="n">
        <v>109</v>
      </c>
      <c r="G86" s="15" t="n">
        <v>496935</v>
      </c>
    </row>
    <row r="87" customFormat="false" ht="15" hidden="false" customHeight="false" outlineLevel="0" collapsed="false">
      <c r="A87" s="14" t="s">
        <v>16</v>
      </c>
      <c r="B87" s="14" t="s">
        <v>29</v>
      </c>
      <c r="C87" s="14" t="s">
        <v>28</v>
      </c>
      <c r="D87" s="14" t="s">
        <v>20</v>
      </c>
      <c r="E87" s="15" t="n">
        <v>524534</v>
      </c>
      <c r="F87" s="16" t="n">
        <v>101</v>
      </c>
      <c r="G87" s="15" t="n">
        <v>458710</v>
      </c>
    </row>
    <row r="88" customFormat="false" ht="15" hidden="false" customHeight="false" outlineLevel="0" collapsed="false">
      <c r="A88" s="14" t="s">
        <v>21</v>
      </c>
      <c r="B88" s="14" t="s">
        <v>29</v>
      </c>
      <c r="C88" s="14" t="s">
        <v>28</v>
      </c>
      <c r="D88" s="14" t="s">
        <v>19</v>
      </c>
      <c r="E88" s="15" t="n">
        <v>611957</v>
      </c>
      <c r="F88" s="16" t="n">
        <v>118</v>
      </c>
      <c r="G88" s="15" t="n">
        <v>535161</v>
      </c>
    </row>
    <row r="89" customFormat="false" ht="15" hidden="false" customHeight="false" outlineLevel="0" collapsed="false">
      <c r="A89" s="14" t="s">
        <v>21</v>
      </c>
      <c r="B89" s="14" t="s">
        <v>29</v>
      </c>
      <c r="C89" s="14" t="s">
        <v>28</v>
      </c>
      <c r="D89" s="14" t="s">
        <v>20</v>
      </c>
      <c r="E89" s="15" t="n">
        <v>564883</v>
      </c>
      <c r="F89" s="16" t="n">
        <v>109</v>
      </c>
      <c r="G89" s="15" t="n">
        <v>493995</v>
      </c>
    </row>
    <row r="90" customFormat="false" ht="15" hidden="false" customHeight="false" outlineLevel="0" collapsed="false">
      <c r="A90" s="14" t="s">
        <v>22</v>
      </c>
      <c r="B90" s="14" t="s">
        <v>29</v>
      </c>
      <c r="C90" s="14" t="s">
        <v>28</v>
      </c>
      <c r="D90" s="14" t="s">
        <v>19</v>
      </c>
      <c r="E90" s="15" t="n">
        <v>699379</v>
      </c>
      <c r="F90" s="16" t="n">
        <v>134</v>
      </c>
      <c r="G90" s="15" t="n">
        <v>611613</v>
      </c>
    </row>
    <row r="91" customFormat="false" ht="15" hidden="false" customHeight="false" outlineLevel="0" collapsed="false">
      <c r="A91" s="14" t="s">
        <v>22</v>
      </c>
      <c r="B91" s="14" t="s">
        <v>29</v>
      </c>
      <c r="C91" s="14" t="s">
        <v>28</v>
      </c>
      <c r="D91" s="14" t="s">
        <v>20</v>
      </c>
      <c r="E91" s="15" t="n">
        <v>645581</v>
      </c>
      <c r="F91" s="16" t="n">
        <v>124</v>
      </c>
      <c r="G91" s="15" t="n">
        <v>564566</v>
      </c>
    </row>
    <row r="92" customFormat="false" ht="15" hidden="false" customHeight="false" outlineLevel="0" collapsed="false">
      <c r="A92" s="14" t="s">
        <v>23</v>
      </c>
      <c r="B92" s="14" t="s">
        <v>29</v>
      </c>
      <c r="C92" s="14" t="s">
        <v>28</v>
      </c>
      <c r="D92" s="14" t="s">
        <v>19</v>
      </c>
      <c r="E92" s="15" t="n">
        <v>874224</v>
      </c>
      <c r="F92" s="16" t="n">
        <v>168</v>
      </c>
      <c r="G92" s="15" t="n">
        <v>764516</v>
      </c>
    </row>
    <row r="93" customFormat="false" ht="15" hidden="false" customHeight="false" outlineLevel="0" collapsed="false">
      <c r="A93" s="14" t="s">
        <v>23</v>
      </c>
      <c r="B93" s="14" t="s">
        <v>29</v>
      </c>
      <c r="C93" s="14" t="s">
        <v>28</v>
      </c>
      <c r="D93" s="14" t="s">
        <v>20</v>
      </c>
      <c r="E93" s="15" t="n">
        <v>806976</v>
      </c>
      <c r="F93" s="16" t="n">
        <v>155</v>
      </c>
      <c r="G93" s="15" t="n">
        <v>705707</v>
      </c>
    </row>
    <row r="94" customFormat="false" ht="15" hidden="false" customHeight="false" outlineLevel="0" collapsed="false">
      <c r="A94" s="14" t="s">
        <v>24</v>
      </c>
      <c r="B94" s="14" t="s">
        <v>29</v>
      </c>
      <c r="C94" s="14" t="s">
        <v>28</v>
      </c>
      <c r="D94" s="14" t="s">
        <v>19</v>
      </c>
      <c r="E94" s="15" t="n">
        <v>830513</v>
      </c>
      <c r="F94" s="16" t="n">
        <v>160</v>
      </c>
      <c r="G94" s="15" t="n">
        <v>726290</v>
      </c>
    </row>
    <row r="95" customFormat="false" ht="15" hidden="false" customHeight="false" outlineLevel="0" collapsed="false">
      <c r="A95" s="14" t="s">
        <v>24</v>
      </c>
      <c r="B95" s="14" t="s">
        <v>29</v>
      </c>
      <c r="C95" s="14" t="s">
        <v>28</v>
      </c>
      <c r="D95" s="14" t="s">
        <v>20</v>
      </c>
      <c r="E95" s="15" t="n">
        <v>766627</v>
      </c>
      <c r="F95" s="16" t="n">
        <v>147</v>
      </c>
      <c r="G95" s="15" t="n">
        <v>670422</v>
      </c>
    </row>
    <row r="96" customFormat="false" ht="15" hidden="false" customHeight="false" outlineLevel="0" collapsed="false">
      <c r="A96" s="14" t="s">
        <v>25</v>
      </c>
      <c r="B96" s="14" t="s">
        <v>29</v>
      </c>
      <c r="C96" s="14" t="s">
        <v>28</v>
      </c>
      <c r="D96" s="14" t="s">
        <v>19</v>
      </c>
      <c r="E96" s="15" t="n">
        <v>786802</v>
      </c>
      <c r="F96" s="16" t="n">
        <v>151</v>
      </c>
      <c r="G96" s="15" t="n">
        <v>688064</v>
      </c>
    </row>
    <row r="97" customFormat="false" ht="15" hidden="false" customHeight="false" outlineLevel="0" collapsed="false">
      <c r="A97" s="14" t="s">
        <v>25</v>
      </c>
      <c r="B97" s="14" t="s">
        <v>29</v>
      </c>
      <c r="C97" s="14" t="s">
        <v>28</v>
      </c>
      <c r="D97" s="14" t="s">
        <v>20</v>
      </c>
      <c r="E97" s="15" t="n">
        <v>726278</v>
      </c>
      <c r="F97" s="16" t="n">
        <v>140</v>
      </c>
      <c r="G97" s="15" t="n">
        <v>635136</v>
      </c>
    </row>
    <row r="98" customFormat="false" ht="15" hidden="false" customHeight="false" outlineLevel="0" collapsed="false">
      <c r="A98" s="14" t="s">
        <v>16</v>
      </c>
      <c r="B98" s="14" t="s">
        <v>30</v>
      </c>
      <c r="C98" s="14" t="s">
        <v>18</v>
      </c>
      <c r="D98" s="14" t="s">
        <v>19</v>
      </c>
      <c r="E98" s="15" t="n">
        <v>876330</v>
      </c>
      <c r="F98" s="16" t="n">
        <v>111</v>
      </c>
      <c r="G98" s="15" t="n">
        <v>736412</v>
      </c>
    </row>
    <row r="99" customFormat="false" ht="15" hidden="false" customHeight="false" outlineLevel="0" collapsed="false">
      <c r="A99" s="14" t="s">
        <v>16</v>
      </c>
      <c r="B99" s="14" t="s">
        <v>30</v>
      </c>
      <c r="C99" s="14" t="s">
        <v>18</v>
      </c>
      <c r="D99" s="14" t="s">
        <v>20</v>
      </c>
      <c r="E99" s="15" t="n">
        <v>584220</v>
      </c>
      <c r="F99" s="16" t="n">
        <v>74</v>
      </c>
      <c r="G99" s="15" t="n">
        <v>490941</v>
      </c>
    </row>
    <row r="100" customFormat="false" ht="15" hidden="false" customHeight="false" outlineLevel="0" collapsed="false">
      <c r="A100" s="14" t="s">
        <v>21</v>
      </c>
      <c r="B100" s="14" t="s">
        <v>30</v>
      </c>
      <c r="C100" s="14" t="s">
        <v>18</v>
      </c>
      <c r="D100" s="14" t="s">
        <v>19</v>
      </c>
      <c r="E100" s="15" t="n">
        <v>943740</v>
      </c>
      <c r="F100" s="16" t="n">
        <v>119</v>
      </c>
      <c r="G100" s="15" t="n">
        <v>793059</v>
      </c>
    </row>
    <row r="101" customFormat="false" ht="15" hidden="false" customHeight="false" outlineLevel="0" collapsed="false">
      <c r="A101" s="14" t="s">
        <v>21</v>
      </c>
      <c r="B101" s="14" t="s">
        <v>30</v>
      </c>
      <c r="C101" s="14" t="s">
        <v>18</v>
      </c>
      <c r="D101" s="14" t="s">
        <v>20</v>
      </c>
      <c r="E101" s="15" t="n">
        <v>629160</v>
      </c>
      <c r="F101" s="16" t="n">
        <v>80</v>
      </c>
      <c r="G101" s="15" t="n">
        <v>528706</v>
      </c>
    </row>
    <row r="102" customFormat="false" ht="15" hidden="false" customHeight="false" outlineLevel="0" collapsed="false">
      <c r="A102" s="14" t="s">
        <v>22</v>
      </c>
      <c r="B102" s="14" t="s">
        <v>30</v>
      </c>
      <c r="C102" s="14" t="s">
        <v>18</v>
      </c>
      <c r="D102" s="14" t="s">
        <v>19</v>
      </c>
      <c r="E102" s="15" t="n">
        <v>1078560</v>
      </c>
      <c r="F102" s="16" t="n">
        <v>137</v>
      </c>
      <c r="G102" s="15" t="n">
        <v>906353</v>
      </c>
    </row>
    <row r="103" customFormat="false" ht="15" hidden="false" customHeight="false" outlineLevel="0" collapsed="false">
      <c r="A103" s="14" t="s">
        <v>22</v>
      </c>
      <c r="B103" s="14" t="s">
        <v>30</v>
      </c>
      <c r="C103" s="14" t="s">
        <v>18</v>
      </c>
      <c r="D103" s="14" t="s">
        <v>20</v>
      </c>
      <c r="E103" s="15" t="n">
        <v>719040</v>
      </c>
      <c r="F103" s="16" t="n">
        <v>91</v>
      </c>
      <c r="G103" s="15" t="n">
        <v>604235</v>
      </c>
    </row>
    <row r="104" customFormat="false" ht="15" hidden="false" customHeight="false" outlineLevel="0" collapsed="false">
      <c r="A104" s="14" t="s">
        <v>23</v>
      </c>
      <c r="B104" s="14" t="s">
        <v>30</v>
      </c>
      <c r="C104" s="14" t="s">
        <v>18</v>
      </c>
      <c r="D104" s="14" t="s">
        <v>19</v>
      </c>
      <c r="E104" s="15" t="n">
        <v>1348200</v>
      </c>
      <c r="F104" s="16" t="n">
        <v>171</v>
      </c>
      <c r="G104" s="15" t="n">
        <v>1132941</v>
      </c>
    </row>
    <row r="105" customFormat="false" ht="15" hidden="false" customHeight="false" outlineLevel="0" collapsed="false">
      <c r="A105" s="14" t="s">
        <v>23</v>
      </c>
      <c r="B105" s="14" t="s">
        <v>30</v>
      </c>
      <c r="C105" s="14" t="s">
        <v>18</v>
      </c>
      <c r="D105" s="14" t="s">
        <v>20</v>
      </c>
      <c r="E105" s="15" t="n">
        <v>898800</v>
      </c>
      <c r="F105" s="16" t="n">
        <v>114</v>
      </c>
      <c r="G105" s="15" t="n">
        <v>755294</v>
      </c>
    </row>
    <row r="106" customFormat="false" ht="15" hidden="false" customHeight="false" outlineLevel="0" collapsed="false">
      <c r="A106" s="14" t="s">
        <v>24</v>
      </c>
      <c r="B106" s="14" t="s">
        <v>30</v>
      </c>
      <c r="C106" s="14" t="s">
        <v>18</v>
      </c>
      <c r="D106" s="14" t="s">
        <v>19</v>
      </c>
      <c r="E106" s="15" t="n">
        <v>1280790</v>
      </c>
      <c r="F106" s="16" t="n">
        <v>162</v>
      </c>
      <c r="G106" s="15" t="n">
        <v>1076294</v>
      </c>
    </row>
    <row r="107" customFormat="false" ht="15" hidden="false" customHeight="false" outlineLevel="0" collapsed="false">
      <c r="A107" s="14" t="s">
        <v>24</v>
      </c>
      <c r="B107" s="14" t="s">
        <v>30</v>
      </c>
      <c r="C107" s="14" t="s">
        <v>18</v>
      </c>
      <c r="D107" s="14" t="s">
        <v>20</v>
      </c>
      <c r="E107" s="15" t="n">
        <v>853860</v>
      </c>
      <c r="F107" s="16" t="n">
        <v>108</v>
      </c>
      <c r="G107" s="15" t="n">
        <v>717529</v>
      </c>
    </row>
    <row r="108" customFormat="false" ht="15" hidden="false" customHeight="false" outlineLevel="0" collapsed="false">
      <c r="A108" s="14" t="s">
        <v>25</v>
      </c>
      <c r="B108" s="14" t="s">
        <v>30</v>
      </c>
      <c r="C108" s="14" t="s">
        <v>18</v>
      </c>
      <c r="D108" s="14" t="s">
        <v>19</v>
      </c>
      <c r="E108" s="15" t="n">
        <v>1213380</v>
      </c>
      <c r="F108" s="16" t="n">
        <v>154</v>
      </c>
      <c r="G108" s="15" t="n">
        <v>1019647</v>
      </c>
    </row>
    <row r="109" customFormat="false" ht="15" hidden="false" customHeight="false" outlineLevel="0" collapsed="false">
      <c r="A109" s="14" t="s">
        <v>25</v>
      </c>
      <c r="B109" s="14" t="s">
        <v>30</v>
      </c>
      <c r="C109" s="14" t="s">
        <v>18</v>
      </c>
      <c r="D109" s="14" t="s">
        <v>20</v>
      </c>
      <c r="E109" s="15" t="n">
        <v>808920</v>
      </c>
      <c r="F109" s="16" t="n">
        <v>102</v>
      </c>
      <c r="G109" s="15" t="n">
        <v>679765</v>
      </c>
    </row>
    <row r="110" customFormat="false" ht="15" hidden="false" customHeight="false" outlineLevel="0" collapsed="false">
      <c r="A110" s="14" t="s">
        <v>16</v>
      </c>
      <c r="B110" s="14" t="s">
        <v>30</v>
      </c>
      <c r="C110" s="14" t="s">
        <v>26</v>
      </c>
      <c r="D110" s="14" t="s">
        <v>19</v>
      </c>
      <c r="E110" s="15" t="n">
        <v>594652</v>
      </c>
      <c r="F110" s="16" t="n">
        <v>65</v>
      </c>
      <c r="G110" s="15" t="n">
        <v>510650</v>
      </c>
    </row>
    <row r="111" customFormat="false" ht="15" hidden="false" customHeight="false" outlineLevel="0" collapsed="false">
      <c r="A111" s="14" t="s">
        <v>16</v>
      </c>
      <c r="B111" s="14" t="s">
        <v>30</v>
      </c>
      <c r="C111" s="14" t="s">
        <v>26</v>
      </c>
      <c r="D111" s="14" t="s">
        <v>20</v>
      </c>
      <c r="E111" s="15" t="n">
        <v>448598</v>
      </c>
      <c r="F111" s="16" t="n">
        <v>49</v>
      </c>
      <c r="G111" s="15" t="n">
        <v>385228</v>
      </c>
    </row>
    <row r="112" customFormat="false" ht="15" hidden="false" customHeight="false" outlineLevel="0" collapsed="false">
      <c r="A112" s="14" t="s">
        <v>21</v>
      </c>
      <c r="B112" s="14" t="s">
        <v>30</v>
      </c>
      <c r="C112" s="14" t="s">
        <v>26</v>
      </c>
      <c r="D112" s="14" t="s">
        <v>19</v>
      </c>
      <c r="E112" s="15" t="n">
        <v>640395</v>
      </c>
      <c r="F112" s="16" t="n">
        <v>70</v>
      </c>
      <c r="G112" s="15" t="n">
        <v>549931</v>
      </c>
    </row>
    <row r="113" customFormat="false" ht="15" hidden="false" customHeight="false" outlineLevel="0" collapsed="false">
      <c r="A113" s="14" t="s">
        <v>21</v>
      </c>
      <c r="B113" s="14" t="s">
        <v>30</v>
      </c>
      <c r="C113" s="14" t="s">
        <v>26</v>
      </c>
      <c r="D113" s="14" t="s">
        <v>20</v>
      </c>
      <c r="E113" s="15" t="n">
        <v>483105</v>
      </c>
      <c r="F113" s="16" t="n">
        <v>53</v>
      </c>
      <c r="G113" s="15" t="n">
        <v>414860</v>
      </c>
    </row>
    <row r="114" customFormat="false" ht="15" hidden="false" customHeight="false" outlineLevel="0" collapsed="false">
      <c r="A114" s="14" t="s">
        <v>22</v>
      </c>
      <c r="B114" s="14" t="s">
        <v>30</v>
      </c>
      <c r="C114" s="14" t="s">
        <v>26</v>
      </c>
      <c r="D114" s="14" t="s">
        <v>19</v>
      </c>
      <c r="E114" s="15" t="n">
        <v>731880</v>
      </c>
      <c r="F114" s="16" t="n">
        <v>80</v>
      </c>
      <c r="G114" s="15" t="n">
        <v>628493</v>
      </c>
    </row>
    <row r="115" customFormat="false" ht="15" hidden="false" customHeight="false" outlineLevel="0" collapsed="false">
      <c r="A115" s="14" t="s">
        <v>22</v>
      </c>
      <c r="B115" s="14" t="s">
        <v>30</v>
      </c>
      <c r="C115" s="14" t="s">
        <v>26</v>
      </c>
      <c r="D115" s="14" t="s">
        <v>20</v>
      </c>
      <c r="E115" s="15" t="n">
        <v>552120</v>
      </c>
      <c r="F115" s="16" t="n">
        <v>60</v>
      </c>
      <c r="G115" s="15" t="n">
        <v>474126</v>
      </c>
    </row>
    <row r="116" customFormat="false" ht="15" hidden="false" customHeight="false" outlineLevel="0" collapsed="false">
      <c r="A116" s="14" t="s">
        <v>23</v>
      </c>
      <c r="B116" s="14" t="s">
        <v>30</v>
      </c>
      <c r="C116" s="14" t="s">
        <v>26</v>
      </c>
      <c r="D116" s="14" t="s">
        <v>19</v>
      </c>
      <c r="E116" s="15" t="n">
        <v>914850</v>
      </c>
      <c r="F116" s="16" t="n">
        <v>99</v>
      </c>
      <c r="G116" s="15" t="n">
        <v>785616</v>
      </c>
    </row>
    <row r="117" customFormat="false" ht="15" hidden="false" customHeight="false" outlineLevel="0" collapsed="false">
      <c r="A117" s="14" t="s">
        <v>23</v>
      </c>
      <c r="B117" s="14" t="s">
        <v>30</v>
      </c>
      <c r="C117" s="14" t="s">
        <v>26</v>
      </c>
      <c r="D117" s="14" t="s">
        <v>20</v>
      </c>
      <c r="E117" s="15" t="n">
        <v>690150</v>
      </c>
      <c r="F117" s="16" t="n">
        <v>75</v>
      </c>
      <c r="G117" s="15" t="n">
        <v>592658</v>
      </c>
    </row>
    <row r="118" customFormat="false" ht="15" hidden="false" customHeight="false" outlineLevel="0" collapsed="false">
      <c r="A118" s="14" t="s">
        <v>24</v>
      </c>
      <c r="B118" s="14" t="s">
        <v>30</v>
      </c>
      <c r="C118" s="14" t="s">
        <v>26</v>
      </c>
      <c r="D118" s="14" t="s">
        <v>19</v>
      </c>
      <c r="E118" s="15" t="n">
        <v>869107</v>
      </c>
      <c r="F118" s="16" t="n">
        <v>94</v>
      </c>
      <c r="G118" s="15" t="n">
        <v>746335</v>
      </c>
    </row>
    <row r="119" customFormat="false" ht="15" hidden="false" customHeight="false" outlineLevel="0" collapsed="false">
      <c r="A119" s="14" t="s">
        <v>24</v>
      </c>
      <c r="B119" s="14" t="s">
        <v>30</v>
      </c>
      <c r="C119" s="14" t="s">
        <v>26</v>
      </c>
      <c r="D119" s="14" t="s">
        <v>20</v>
      </c>
      <c r="E119" s="15" t="n">
        <v>655643</v>
      </c>
      <c r="F119" s="16" t="n">
        <v>71</v>
      </c>
      <c r="G119" s="15" t="n">
        <v>563025</v>
      </c>
    </row>
    <row r="120" customFormat="false" ht="15" hidden="false" customHeight="false" outlineLevel="0" collapsed="false">
      <c r="A120" s="14" t="s">
        <v>25</v>
      </c>
      <c r="B120" s="14" t="s">
        <v>30</v>
      </c>
      <c r="C120" s="14" t="s">
        <v>26</v>
      </c>
      <c r="D120" s="14" t="s">
        <v>19</v>
      </c>
      <c r="E120" s="15" t="n">
        <v>823365</v>
      </c>
      <c r="F120" s="16" t="n">
        <v>89</v>
      </c>
      <c r="G120" s="15" t="n">
        <v>707055</v>
      </c>
    </row>
    <row r="121" customFormat="false" ht="15" hidden="false" customHeight="false" outlineLevel="0" collapsed="false">
      <c r="A121" s="14" t="s">
        <v>25</v>
      </c>
      <c r="B121" s="14" t="s">
        <v>30</v>
      </c>
      <c r="C121" s="14" t="s">
        <v>26</v>
      </c>
      <c r="D121" s="14" t="s">
        <v>20</v>
      </c>
      <c r="E121" s="15" t="n">
        <v>621135</v>
      </c>
      <c r="F121" s="16" t="n">
        <v>68</v>
      </c>
      <c r="G121" s="15" t="n">
        <v>533392</v>
      </c>
    </row>
    <row r="122" customFormat="false" ht="15" hidden="false" customHeight="false" outlineLevel="0" collapsed="false">
      <c r="A122" s="14" t="s">
        <v>16</v>
      </c>
      <c r="B122" s="14" t="s">
        <v>30</v>
      </c>
      <c r="C122" s="14" t="s">
        <v>27</v>
      </c>
      <c r="D122" s="14" t="s">
        <v>19</v>
      </c>
      <c r="E122" s="15" t="n">
        <v>477391</v>
      </c>
      <c r="F122" s="16" t="n">
        <v>82</v>
      </c>
      <c r="G122" s="15" t="n">
        <v>403884</v>
      </c>
    </row>
    <row r="123" customFormat="false" ht="15" hidden="false" customHeight="false" outlineLevel="0" collapsed="false">
      <c r="A123" s="14" t="s">
        <v>16</v>
      </c>
      <c r="B123" s="14" t="s">
        <v>30</v>
      </c>
      <c r="C123" s="14" t="s">
        <v>27</v>
      </c>
      <c r="D123" s="14" t="s">
        <v>20</v>
      </c>
      <c r="E123" s="15" t="n">
        <v>440669</v>
      </c>
      <c r="F123" s="16" t="n">
        <v>76</v>
      </c>
      <c r="G123" s="15" t="n">
        <v>372816</v>
      </c>
    </row>
    <row r="124" customFormat="false" ht="15" hidden="false" customHeight="false" outlineLevel="0" collapsed="false">
      <c r="A124" s="14" t="s">
        <v>21</v>
      </c>
      <c r="B124" s="14" t="s">
        <v>30</v>
      </c>
      <c r="C124" s="14" t="s">
        <v>27</v>
      </c>
      <c r="D124" s="14" t="s">
        <v>19</v>
      </c>
      <c r="E124" s="15" t="n">
        <v>514114</v>
      </c>
      <c r="F124" s="16" t="n">
        <v>89</v>
      </c>
      <c r="G124" s="15" t="n">
        <v>434952</v>
      </c>
    </row>
    <row r="125" customFormat="false" ht="15" hidden="false" customHeight="false" outlineLevel="0" collapsed="false">
      <c r="A125" s="14" t="s">
        <v>21</v>
      </c>
      <c r="B125" s="14" t="s">
        <v>30</v>
      </c>
      <c r="C125" s="14" t="s">
        <v>27</v>
      </c>
      <c r="D125" s="14" t="s">
        <v>20</v>
      </c>
      <c r="E125" s="15" t="n">
        <v>474566</v>
      </c>
      <c r="F125" s="16" t="n">
        <v>82</v>
      </c>
      <c r="G125" s="15" t="n">
        <v>401494</v>
      </c>
    </row>
    <row r="126" customFormat="false" ht="15" hidden="false" customHeight="false" outlineLevel="0" collapsed="false">
      <c r="A126" s="14" t="s">
        <v>22</v>
      </c>
      <c r="B126" s="14" t="s">
        <v>30</v>
      </c>
      <c r="C126" s="14" t="s">
        <v>27</v>
      </c>
      <c r="D126" s="14" t="s">
        <v>19</v>
      </c>
      <c r="E126" s="15" t="n">
        <v>587558</v>
      </c>
      <c r="F126" s="16" t="n">
        <v>101</v>
      </c>
      <c r="G126" s="15" t="n">
        <v>497088</v>
      </c>
    </row>
    <row r="127" customFormat="false" ht="15" hidden="false" customHeight="false" outlineLevel="0" collapsed="false">
      <c r="A127" s="14" t="s">
        <v>22</v>
      </c>
      <c r="B127" s="14" t="s">
        <v>30</v>
      </c>
      <c r="C127" s="14" t="s">
        <v>27</v>
      </c>
      <c r="D127" s="14" t="s">
        <v>20</v>
      </c>
      <c r="E127" s="15" t="n">
        <v>542362</v>
      </c>
      <c r="F127" s="16" t="n">
        <v>94</v>
      </c>
      <c r="G127" s="15" t="n">
        <v>458851</v>
      </c>
    </row>
    <row r="128" customFormat="false" ht="15" hidden="false" customHeight="false" outlineLevel="0" collapsed="false">
      <c r="A128" s="14" t="s">
        <v>23</v>
      </c>
      <c r="B128" s="14" t="s">
        <v>30</v>
      </c>
      <c r="C128" s="14" t="s">
        <v>27</v>
      </c>
      <c r="D128" s="14" t="s">
        <v>19</v>
      </c>
      <c r="E128" s="15" t="n">
        <v>734448</v>
      </c>
      <c r="F128" s="16" t="n">
        <v>127</v>
      </c>
      <c r="G128" s="15" t="n">
        <v>621360</v>
      </c>
    </row>
    <row r="129" customFormat="false" ht="15" hidden="false" customHeight="false" outlineLevel="0" collapsed="false">
      <c r="A129" s="14" t="s">
        <v>23</v>
      </c>
      <c r="B129" s="14" t="s">
        <v>30</v>
      </c>
      <c r="C129" s="14" t="s">
        <v>27</v>
      </c>
      <c r="D129" s="14" t="s">
        <v>20</v>
      </c>
      <c r="E129" s="15" t="n">
        <v>677952</v>
      </c>
      <c r="F129" s="16" t="n">
        <v>117</v>
      </c>
      <c r="G129" s="15" t="n">
        <v>573563</v>
      </c>
    </row>
    <row r="130" customFormat="false" ht="15" hidden="false" customHeight="false" outlineLevel="0" collapsed="false">
      <c r="A130" s="14" t="s">
        <v>24</v>
      </c>
      <c r="B130" s="14" t="s">
        <v>30</v>
      </c>
      <c r="C130" s="14" t="s">
        <v>27</v>
      </c>
      <c r="D130" s="14" t="s">
        <v>19</v>
      </c>
      <c r="E130" s="15" t="n">
        <v>697726</v>
      </c>
      <c r="F130" s="16" t="n">
        <v>120</v>
      </c>
      <c r="G130" s="15" t="n">
        <v>590292</v>
      </c>
    </row>
    <row r="131" customFormat="false" ht="15" hidden="false" customHeight="false" outlineLevel="0" collapsed="false">
      <c r="A131" s="14" t="s">
        <v>24</v>
      </c>
      <c r="B131" s="14" t="s">
        <v>30</v>
      </c>
      <c r="C131" s="14" t="s">
        <v>27</v>
      </c>
      <c r="D131" s="14" t="s">
        <v>20</v>
      </c>
      <c r="E131" s="15" t="n">
        <v>644054</v>
      </c>
      <c r="F131" s="16" t="n">
        <v>111</v>
      </c>
      <c r="G131" s="15" t="n">
        <v>544885</v>
      </c>
    </row>
    <row r="132" customFormat="false" ht="15" hidden="false" customHeight="false" outlineLevel="0" collapsed="false">
      <c r="A132" s="14" t="s">
        <v>25</v>
      </c>
      <c r="B132" s="14" t="s">
        <v>30</v>
      </c>
      <c r="C132" s="14" t="s">
        <v>27</v>
      </c>
      <c r="D132" s="14" t="s">
        <v>19</v>
      </c>
      <c r="E132" s="15" t="n">
        <v>661003</v>
      </c>
      <c r="F132" s="16" t="n">
        <v>114</v>
      </c>
      <c r="G132" s="15" t="n">
        <v>559224</v>
      </c>
    </row>
    <row r="133" customFormat="false" ht="15" hidden="false" customHeight="false" outlineLevel="0" collapsed="false">
      <c r="A133" s="14" t="s">
        <v>25</v>
      </c>
      <c r="B133" s="14" t="s">
        <v>30</v>
      </c>
      <c r="C133" s="14" t="s">
        <v>27</v>
      </c>
      <c r="D133" s="14" t="s">
        <v>20</v>
      </c>
      <c r="E133" s="15" t="n">
        <v>610157</v>
      </c>
      <c r="F133" s="16" t="n">
        <v>105</v>
      </c>
      <c r="G133" s="15" t="n">
        <v>516207</v>
      </c>
    </row>
    <row r="134" customFormat="false" ht="15" hidden="false" customHeight="false" outlineLevel="0" collapsed="false">
      <c r="A134" s="14" t="s">
        <v>16</v>
      </c>
      <c r="B134" s="14" t="s">
        <v>30</v>
      </c>
      <c r="C134" s="14" t="s">
        <v>28</v>
      </c>
      <c r="D134" s="14" t="s">
        <v>19</v>
      </c>
      <c r="E134" s="15" t="n">
        <v>390593</v>
      </c>
      <c r="F134" s="16" t="n">
        <v>75</v>
      </c>
      <c r="G134" s="15" t="n">
        <v>342175</v>
      </c>
    </row>
    <row r="135" customFormat="false" ht="15" hidden="false" customHeight="false" outlineLevel="0" collapsed="false">
      <c r="A135" s="14" t="s">
        <v>16</v>
      </c>
      <c r="B135" s="14" t="s">
        <v>30</v>
      </c>
      <c r="C135" s="14" t="s">
        <v>28</v>
      </c>
      <c r="D135" s="14" t="s">
        <v>20</v>
      </c>
      <c r="E135" s="15" t="n">
        <v>360547</v>
      </c>
      <c r="F135" s="16" t="n">
        <v>69</v>
      </c>
      <c r="G135" s="15" t="n">
        <v>315854</v>
      </c>
    </row>
    <row r="136" customFormat="false" ht="15" hidden="false" customHeight="false" outlineLevel="0" collapsed="false">
      <c r="A136" s="14" t="s">
        <v>21</v>
      </c>
      <c r="B136" s="14" t="s">
        <v>30</v>
      </c>
      <c r="C136" s="14" t="s">
        <v>28</v>
      </c>
      <c r="D136" s="14" t="s">
        <v>19</v>
      </c>
      <c r="E136" s="15" t="n">
        <v>420638</v>
      </c>
      <c r="F136" s="16" t="n">
        <v>81</v>
      </c>
      <c r="G136" s="15" t="n">
        <v>368496</v>
      </c>
    </row>
    <row r="137" customFormat="false" ht="15" hidden="false" customHeight="false" outlineLevel="0" collapsed="false">
      <c r="A137" s="14" t="s">
        <v>21</v>
      </c>
      <c r="B137" s="14" t="s">
        <v>30</v>
      </c>
      <c r="C137" s="14" t="s">
        <v>28</v>
      </c>
      <c r="D137" s="14" t="s">
        <v>20</v>
      </c>
      <c r="E137" s="15" t="n">
        <v>388282</v>
      </c>
      <c r="F137" s="16" t="n">
        <v>75</v>
      </c>
      <c r="G137" s="15" t="n">
        <v>340150</v>
      </c>
    </row>
    <row r="138" customFormat="false" ht="15" hidden="false" customHeight="false" outlineLevel="0" collapsed="false">
      <c r="A138" s="14" t="s">
        <v>22</v>
      </c>
      <c r="B138" s="14" t="s">
        <v>30</v>
      </c>
      <c r="C138" s="14" t="s">
        <v>28</v>
      </c>
      <c r="D138" s="14" t="s">
        <v>19</v>
      </c>
      <c r="E138" s="15" t="n">
        <v>480730</v>
      </c>
      <c r="F138" s="16" t="n">
        <v>92</v>
      </c>
      <c r="G138" s="15" t="n">
        <v>421139</v>
      </c>
    </row>
    <row r="139" customFormat="false" ht="15" hidden="false" customHeight="false" outlineLevel="0" collapsed="false">
      <c r="A139" s="14" t="s">
        <v>22</v>
      </c>
      <c r="B139" s="14" t="s">
        <v>30</v>
      </c>
      <c r="C139" s="14" t="s">
        <v>28</v>
      </c>
      <c r="D139" s="14" t="s">
        <v>20</v>
      </c>
      <c r="E139" s="15" t="n">
        <v>443750</v>
      </c>
      <c r="F139" s="16" t="n">
        <v>85</v>
      </c>
      <c r="G139" s="15" t="n">
        <v>388743</v>
      </c>
    </row>
    <row r="140" customFormat="false" ht="15" hidden="false" customHeight="false" outlineLevel="0" collapsed="false">
      <c r="A140" s="14" t="s">
        <v>23</v>
      </c>
      <c r="B140" s="14" t="s">
        <v>30</v>
      </c>
      <c r="C140" s="14" t="s">
        <v>28</v>
      </c>
      <c r="D140" s="14" t="s">
        <v>19</v>
      </c>
      <c r="E140" s="15" t="n">
        <v>600912</v>
      </c>
      <c r="F140" s="16" t="n">
        <v>116</v>
      </c>
      <c r="G140" s="15" t="n">
        <v>526423</v>
      </c>
    </row>
    <row r="141" customFormat="false" ht="15" hidden="false" customHeight="false" outlineLevel="0" collapsed="false">
      <c r="A141" s="14" t="s">
        <v>23</v>
      </c>
      <c r="B141" s="14" t="s">
        <v>30</v>
      </c>
      <c r="C141" s="14" t="s">
        <v>28</v>
      </c>
      <c r="D141" s="14" t="s">
        <v>20</v>
      </c>
      <c r="E141" s="15" t="n">
        <v>554688</v>
      </c>
      <c r="F141" s="16" t="n">
        <v>107</v>
      </c>
      <c r="G141" s="15" t="n">
        <v>485929</v>
      </c>
    </row>
    <row r="142" customFormat="false" ht="15" hidden="false" customHeight="false" outlineLevel="0" collapsed="false">
      <c r="A142" s="14" t="s">
        <v>24</v>
      </c>
      <c r="B142" s="14" t="s">
        <v>30</v>
      </c>
      <c r="C142" s="14" t="s">
        <v>28</v>
      </c>
      <c r="D142" s="14" t="s">
        <v>19</v>
      </c>
      <c r="E142" s="15" t="n">
        <v>570866</v>
      </c>
      <c r="F142" s="16" t="n">
        <v>110</v>
      </c>
      <c r="G142" s="15" t="n">
        <v>500102</v>
      </c>
    </row>
    <row r="143" customFormat="false" ht="15" hidden="false" customHeight="false" outlineLevel="0" collapsed="false">
      <c r="A143" s="14" t="s">
        <v>24</v>
      </c>
      <c r="B143" s="14" t="s">
        <v>30</v>
      </c>
      <c r="C143" s="14" t="s">
        <v>28</v>
      </c>
      <c r="D143" s="14" t="s">
        <v>20</v>
      </c>
      <c r="E143" s="15" t="n">
        <v>526954</v>
      </c>
      <c r="F143" s="16" t="n">
        <v>101</v>
      </c>
      <c r="G143" s="15" t="n">
        <v>461633</v>
      </c>
    </row>
    <row r="144" customFormat="false" ht="15" hidden="false" customHeight="false" outlineLevel="0" collapsed="false">
      <c r="A144" s="14" t="s">
        <v>25</v>
      </c>
      <c r="B144" s="14" t="s">
        <v>30</v>
      </c>
      <c r="C144" s="14" t="s">
        <v>28</v>
      </c>
      <c r="D144" s="14" t="s">
        <v>19</v>
      </c>
      <c r="E144" s="15" t="n">
        <v>540821</v>
      </c>
      <c r="F144" s="16" t="n">
        <v>104</v>
      </c>
      <c r="G144" s="15" t="n">
        <v>473781</v>
      </c>
    </row>
    <row r="145" customFormat="false" ht="15" hidden="false" customHeight="false" outlineLevel="0" collapsed="false">
      <c r="A145" s="14" t="s">
        <v>25</v>
      </c>
      <c r="B145" s="14" t="s">
        <v>30</v>
      </c>
      <c r="C145" s="14" t="s">
        <v>28</v>
      </c>
      <c r="D145" s="14" t="s">
        <v>20</v>
      </c>
      <c r="E145" s="15" t="n">
        <v>499219</v>
      </c>
      <c r="F145" s="16" t="n">
        <v>96</v>
      </c>
      <c r="G145" s="15" t="n">
        <v>437336</v>
      </c>
    </row>
    <row r="146" customFormat="false" ht="15" hidden="false" customHeight="false" outlineLevel="0" collapsed="false">
      <c r="A146" s="14" t="s">
        <v>16</v>
      </c>
      <c r="B146" s="14" t="s">
        <v>31</v>
      </c>
      <c r="C146" s="14" t="s">
        <v>18</v>
      </c>
      <c r="D146" s="14" t="s">
        <v>19</v>
      </c>
      <c r="E146" s="15" t="n">
        <v>510510</v>
      </c>
      <c r="F146" s="16" t="n">
        <v>65</v>
      </c>
      <c r="G146" s="15" t="n">
        <v>427921</v>
      </c>
    </row>
    <row r="147" customFormat="false" ht="15" hidden="false" customHeight="false" outlineLevel="0" collapsed="false">
      <c r="A147" s="14" t="s">
        <v>16</v>
      </c>
      <c r="B147" s="14" t="s">
        <v>31</v>
      </c>
      <c r="C147" s="14" t="s">
        <v>18</v>
      </c>
      <c r="D147" s="14" t="s">
        <v>20</v>
      </c>
      <c r="E147" s="15" t="n">
        <v>340340</v>
      </c>
      <c r="F147" s="16" t="n">
        <v>43</v>
      </c>
      <c r="G147" s="15" t="n">
        <v>285281</v>
      </c>
    </row>
    <row r="148" customFormat="false" ht="15" hidden="false" customHeight="false" outlineLevel="0" collapsed="false">
      <c r="A148" s="14" t="s">
        <v>21</v>
      </c>
      <c r="B148" s="14" t="s">
        <v>31</v>
      </c>
      <c r="C148" s="14" t="s">
        <v>18</v>
      </c>
      <c r="D148" s="14" t="s">
        <v>19</v>
      </c>
      <c r="E148" s="15" t="n">
        <v>549780</v>
      </c>
      <c r="F148" s="16" t="n">
        <v>70</v>
      </c>
      <c r="G148" s="15" t="n">
        <v>460838</v>
      </c>
    </row>
    <row r="149" customFormat="false" ht="15" hidden="false" customHeight="false" outlineLevel="0" collapsed="false">
      <c r="A149" s="14" t="s">
        <v>21</v>
      </c>
      <c r="B149" s="14" t="s">
        <v>31</v>
      </c>
      <c r="C149" s="14" t="s">
        <v>18</v>
      </c>
      <c r="D149" s="14" t="s">
        <v>20</v>
      </c>
      <c r="E149" s="15" t="n">
        <v>366520</v>
      </c>
      <c r="F149" s="16" t="n">
        <v>46</v>
      </c>
      <c r="G149" s="15" t="n">
        <v>307225</v>
      </c>
    </row>
    <row r="150" customFormat="false" ht="15" hidden="false" customHeight="false" outlineLevel="0" collapsed="false">
      <c r="A150" s="14" t="s">
        <v>22</v>
      </c>
      <c r="B150" s="14" t="s">
        <v>31</v>
      </c>
      <c r="C150" s="14" t="s">
        <v>18</v>
      </c>
      <c r="D150" s="14" t="s">
        <v>19</v>
      </c>
      <c r="E150" s="15" t="n">
        <v>628320</v>
      </c>
      <c r="F150" s="16" t="n">
        <v>80</v>
      </c>
      <c r="G150" s="15" t="n">
        <v>526672</v>
      </c>
    </row>
    <row r="151" customFormat="false" ht="15" hidden="false" customHeight="false" outlineLevel="0" collapsed="false">
      <c r="A151" s="14" t="s">
        <v>22</v>
      </c>
      <c r="B151" s="14" t="s">
        <v>31</v>
      </c>
      <c r="C151" s="14" t="s">
        <v>18</v>
      </c>
      <c r="D151" s="14" t="s">
        <v>20</v>
      </c>
      <c r="E151" s="15" t="n">
        <v>418880</v>
      </c>
      <c r="F151" s="16" t="n">
        <v>53</v>
      </c>
      <c r="G151" s="15" t="n">
        <v>351115</v>
      </c>
    </row>
    <row r="152" customFormat="false" ht="15" hidden="false" customHeight="false" outlineLevel="0" collapsed="false">
      <c r="A152" s="14" t="s">
        <v>23</v>
      </c>
      <c r="B152" s="14" t="s">
        <v>31</v>
      </c>
      <c r="C152" s="14" t="s">
        <v>18</v>
      </c>
      <c r="D152" s="14" t="s">
        <v>19</v>
      </c>
      <c r="E152" s="15" t="n">
        <v>785400</v>
      </c>
      <c r="F152" s="16" t="n">
        <v>99</v>
      </c>
      <c r="G152" s="15" t="n">
        <v>658340</v>
      </c>
    </row>
    <row r="153" customFormat="false" ht="15" hidden="false" customHeight="false" outlineLevel="0" collapsed="false">
      <c r="A153" s="14" t="s">
        <v>23</v>
      </c>
      <c r="B153" s="14" t="s">
        <v>31</v>
      </c>
      <c r="C153" s="14" t="s">
        <v>18</v>
      </c>
      <c r="D153" s="14" t="s">
        <v>20</v>
      </c>
      <c r="E153" s="15" t="n">
        <v>523600</v>
      </c>
      <c r="F153" s="16" t="n">
        <v>66</v>
      </c>
      <c r="G153" s="15" t="n">
        <v>438894</v>
      </c>
    </row>
    <row r="154" customFormat="false" ht="15" hidden="false" customHeight="false" outlineLevel="0" collapsed="false">
      <c r="A154" s="14" t="s">
        <v>24</v>
      </c>
      <c r="B154" s="14" t="s">
        <v>31</v>
      </c>
      <c r="C154" s="14" t="s">
        <v>18</v>
      </c>
      <c r="D154" s="14" t="s">
        <v>19</v>
      </c>
      <c r="E154" s="15" t="n">
        <v>746130</v>
      </c>
      <c r="F154" s="16" t="n">
        <v>94</v>
      </c>
      <c r="G154" s="15" t="n">
        <v>625423</v>
      </c>
    </row>
    <row r="155" customFormat="false" ht="15" hidden="false" customHeight="false" outlineLevel="0" collapsed="false">
      <c r="A155" s="14" t="s">
        <v>24</v>
      </c>
      <c r="B155" s="14" t="s">
        <v>31</v>
      </c>
      <c r="C155" s="14" t="s">
        <v>18</v>
      </c>
      <c r="D155" s="14" t="s">
        <v>20</v>
      </c>
      <c r="E155" s="15" t="n">
        <v>497420</v>
      </c>
      <c r="F155" s="16" t="n">
        <v>63</v>
      </c>
      <c r="G155" s="15" t="n">
        <v>416949</v>
      </c>
    </row>
    <row r="156" customFormat="false" ht="15" hidden="false" customHeight="false" outlineLevel="0" collapsed="false">
      <c r="A156" s="14" t="s">
        <v>25</v>
      </c>
      <c r="B156" s="14" t="s">
        <v>31</v>
      </c>
      <c r="C156" s="14" t="s">
        <v>18</v>
      </c>
      <c r="D156" s="14" t="s">
        <v>19</v>
      </c>
      <c r="E156" s="15" t="n">
        <v>706860</v>
      </c>
      <c r="F156" s="16" t="n">
        <v>89</v>
      </c>
      <c r="G156" s="15" t="n">
        <v>592506</v>
      </c>
    </row>
    <row r="157" customFormat="false" ht="15" hidden="false" customHeight="false" outlineLevel="0" collapsed="false">
      <c r="A157" s="14" t="s">
        <v>25</v>
      </c>
      <c r="B157" s="14" t="s">
        <v>31</v>
      </c>
      <c r="C157" s="14" t="s">
        <v>18</v>
      </c>
      <c r="D157" s="14" t="s">
        <v>20</v>
      </c>
      <c r="E157" s="15" t="n">
        <v>471240</v>
      </c>
      <c r="F157" s="16" t="n">
        <v>60</v>
      </c>
      <c r="G157" s="15" t="n">
        <v>395004</v>
      </c>
    </row>
    <row r="158" customFormat="false" ht="15" hidden="false" customHeight="false" outlineLevel="0" collapsed="false">
      <c r="A158" s="14" t="s">
        <v>16</v>
      </c>
      <c r="B158" s="14" t="s">
        <v>31</v>
      </c>
      <c r="C158" s="14" t="s">
        <v>26</v>
      </c>
      <c r="D158" s="14" t="s">
        <v>19</v>
      </c>
      <c r="E158" s="15" t="n">
        <v>346417</v>
      </c>
      <c r="F158" s="16" t="n">
        <v>38</v>
      </c>
      <c r="G158" s="15" t="n">
        <v>296717</v>
      </c>
    </row>
    <row r="159" customFormat="false" ht="15" hidden="false" customHeight="false" outlineLevel="0" collapsed="false">
      <c r="A159" s="14" t="s">
        <v>16</v>
      </c>
      <c r="B159" s="14" t="s">
        <v>31</v>
      </c>
      <c r="C159" s="14" t="s">
        <v>26</v>
      </c>
      <c r="D159" s="14" t="s">
        <v>20</v>
      </c>
      <c r="E159" s="15" t="n">
        <v>261333</v>
      </c>
      <c r="F159" s="16" t="n">
        <v>28</v>
      </c>
      <c r="G159" s="15" t="n">
        <v>223839</v>
      </c>
    </row>
    <row r="160" customFormat="false" ht="15" hidden="false" customHeight="false" outlineLevel="0" collapsed="false">
      <c r="A160" s="14" t="s">
        <v>21</v>
      </c>
      <c r="B160" s="14" t="s">
        <v>31</v>
      </c>
      <c r="C160" s="14" t="s">
        <v>26</v>
      </c>
      <c r="D160" s="14" t="s">
        <v>19</v>
      </c>
      <c r="E160" s="15" t="n">
        <v>373065</v>
      </c>
      <c r="F160" s="16" t="n">
        <v>41</v>
      </c>
      <c r="G160" s="15" t="n">
        <v>319542</v>
      </c>
    </row>
    <row r="161" customFormat="false" ht="15" hidden="false" customHeight="false" outlineLevel="0" collapsed="false">
      <c r="A161" s="14" t="s">
        <v>21</v>
      </c>
      <c r="B161" s="14" t="s">
        <v>31</v>
      </c>
      <c r="C161" s="14" t="s">
        <v>26</v>
      </c>
      <c r="D161" s="14" t="s">
        <v>20</v>
      </c>
      <c r="E161" s="15" t="n">
        <v>281435</v>
      </c>
      <c r="F161" s="16" t="n">
        <v>31</v>
      </c>
      <c r="G161" s="15" t="n">
        <v>241058</v>
      </c>
    </row>
    <row r="162" customFormat="false" ht="15" hidden="false" customHeight="false" outlineLevel="0" collapsed="false">
      <c r="A162" s="14" t="s">
        <v>22</v>
      </c>
      <c r="B162" s="14" t="s">
        <v>31</v>
      </c>
      <c r="C162" s="14" t="s">
        <v>26</v>
      </c>
      <c r="D162" s="14" t="s">
        <v>19</v>
      </c>
      <c r="E162" s="15" t="n">
        <v>426360</v>
      </c>
      <c r="F162" s="16" t="n">
        <v>46</v>
      </c>
      <c r="G162" s="15" t="n">
        <v>365191</v>
      </c>
    </row>
    <row r="163" customFormat="false" ht="15" hidden="false" customHeight="false" outlineLevel="0" collapsed="false">
      <c r="A163" s="14" t="s">
        <v>22</v>
      </c>
      <c r="B163" s="14" t="s">
        <v>31</v>
      </c>
      <c r="C163" s="14" t="s">
        <v>26</v>
      </c>
      <c r="D163" s="14" t="s">
        <v>20</v>
      </c>
      <c r="E163" s="15" t="n">
        <v>321640</v>
      </c>
      <c r="F163" s="16" t="n">
        <v>35</v>
      </c>
      <c r="G163" s="15" t="n">
        <v>275495</v>
      </c>
    </row>
    <row r="164" customFormat="false" ht="15" hidden="false" customHeight="false" outlineLevel="0" collapsed="false">
      <c r="A164" s="14" t="s">
        <v>23</v>
      </c>
      <c r="B164" s="14" t="s">
        <v>31</v>
      </c>
      <c r="C164" s="14" t="s">
        <v>26</v>
      </c>
      <c r="D164" s="14" t="s">
        <v>19</v>
      </c>
      <c r="E164" s="15" t="n">
        <v>532950</v>
      </c>
      <c r="F164" s="16" t="n">
        <v>58</v>
      </c>
      <c r="G164" s="15" t="n">
        <v>456488</v>
      </c>
    </row>
    <row r="165" customFormat="false" ht="15" hidden="false" customHeight="false" outlineLevel="0" collapsed="false">
      <c r="A165" s="14" t="s">
        <v>23</v>
      </c>
      <c r="B165" s="14" t="s">
        <v>31</v>
      </c>
      <c r="C165" s="14" t="s">
        <v>26</v>
      </c>
      <c r="D165" s="14" t="s">
        <v>20</v>
      </c>
      <c r="E165" s="15" t="n">
        <v>402050</v>
      </c>
      <c r="F165" s="16" t="n">
        <v>44</v>
      </c>
      <c r="G165" s="15" t="n">
        <v>344368</v>
      </c>
    </row>
    <row r="166" customFormat="false" ht="15" hidden="false" customHeight="false" outlineLevel="0" collapsed="false">
      <c r="A166" s="14" t="s">
        <v>24</v>
      </c>
      <c r="B166" s="14" t="s">
        <v>31</v>
      </c>
      <c r="C166" s="14" t="s">
        <v>26</v>
      </c>
      <c r="D166" s="14" t="s">
        <v>19</v>
      </c>
      <c r="E166" s="15" t="n">
        <v>506302</v>
      </c>
      <c r="F166" s="16" t="n">
        <v>55</v>
      </c>
      <c r="G166" s="15" t="n">
        <v>433664</v>
      </c>
    </row>
    <row r="167" customFormat="false" ht="15" hidden="false" customHeight="false" outlineLevel="0" collapsed="false">
      <c r="A167" s="14" t="s">
        <v>24</v>
      </c>
      <c r="B167" s="14" t="s">
        <v>31</v>
      </c>
      <c r="C167" s="14" t="s">
        <v>26</v>
      </c>
      <c r="D167" s="14" t="s">
        <v>20</v>
      </c>
      <c r="E167" s="15" t="n">
        <v>381948</v>
      </c>
      <c r="F167" s="16" t="n">
        <v>42</v>
      </c>
      <c r="G167" s="15" t="n">
        <v>327150</v>
      </c>
    </row>
    <row r="168" customFormat="false" ht="15" hidden="false" customHeight="false" outlineLevel="0" collapsed="false">
      <c r="A168" s="14" t="s">
        <v>25</v>
      </c>
      <c r="B168" s="14" t="s">
        <v>31</v>
      </c>
      <c r="C168" s="14" t="s">
        <v>26</v>
      </c>
      <c r="D168" s="14" t="s">
        <v>19</v>
      </c>
      <c r="E168" s="15" t="n">
        <v>479655</v>
      </c>
      <c r="F168" s="16" t="n">
        <v>52</v>
      </c>
      <c r="G168" s="15" t="n">
        <v>410839</v>
      </c>
    </row>
    <row r="169" customFormat="false" ht="15" hidden="false" customHeight="false" outlineLevel="0" collapsed="false">
      <c r="A169" s="14" t="s">
        <v>25</v>
      </c>
      <c r="B169" s="14" t="s">
        <v>31</v>
      </c>
      <c r="C169" s="14" t="s">
        <v>26</v>
      </c>
      <c r="D169" s="14" t="s">
        <v>20</v>
      </c>
      <c r="E169" s="15" t="n">
        <v>361845</v>
      </c>
      <c r="F169" s="16" t="n">
        <v>39</v>
      </c>
      <c r="G169" s="15" t="n">
        <v>309931</v>
      </c>
    </row>
    <row r="170" customFormat="false" ht="15" hidden="false" customHeight="false" outlineLevel="0" collapsed="false">
      <c r="A170" s="14" t="s">
        <v>16</v>
      </c>
      <c r="B170" s="14" t="s">
        <v>31</v>
      </c>
      <c r="C170" s="14" t="s">
        <v>27</v>
      </c>
      <c r="D170" s="14" t="s">
        <v>19</v>
      </c>
      <c r="E170" s="15" t="n">
        <v>278106</v>
      </c>
      <c r="F170" s="16" t="n">
        <v>48</v>
      </c>
      <c r="G170" s="15" t="n">
        <v>234689</v>
      </c>
    </row>
    <row r="171" customFormat="false" ht="15" hidden="false" customHeight="false" outlineLevel="0" collapsed="false">
      <c r="A171" s="14" t="s">
        <v>16</v>
      </c>
      <c r="B171" s="14" t="s">
        <v>31</v>
      </c>
      <c r="C171" s="14" t="s">
        <v>27</v>
      </c>
      <c r="D171" s="14" t="s">
        <v>20</v>
      </c>
      <c r="E171" s="15" t="n">
        <v>256714</v>
      </c>
      <c r="F171" s="16" t="n">
        <v>44</v>
      </c>
      <c r="G171" s="15" t="n">
        <v>216636</v>
      </c>
    </row>
    <row r="172" customFormat="false" ht="15" hidden="false" customHeight="false" outlineLevel="0" collapsed="false">
      <c r="A172" s="14" t="s">
        <v>21</v>
      </c>
      <c r="B172" s="14" t="s">
        <v>31</v>
      </c>
      <c r="C172" s="14" t="s">
        <v>27</v>
      </c>
      <c r="D172" s="14" t="s">
        <v>19</v>
      </c>
      <c r="E172" s="15" t="n">
        <v>299499</v>
      </c>
      <c r="F172" s="16" t="n">
        <v>52</v>
      </c>
      <c r="G172" s="15" t="n">
        <v>252742</v>
      </c>
    </row>
    <row r="173" customFormat="false" ht="15" hidden="false" customHeight="false" outlineLevel="0" collapsed="false">
      <c r="A173" s="14" t="s">
        <v>21</v>
      </c>
      <c r="B173" s="14" t="s">
        <v>31</v>
      </c>
      <c r="C173" s="14" t="s">
        <v>27</v>
      </c>
      <c r="D173" s="14" t="s">
        <v>20</v>
      </c>
      <c r="E173" s="15" t="n">
        <v>276461</v>
      </c>
      <c r="F173" s="16" t="n">
        <v>48</v>
      </c>
      <c r="G173" s="15" t="n">
        <v>233300</v>
      </c>
    </row>
    <row r="174" customFormat="false" ht="15" hidden="false" customHeight="false" outlineLevel="0" collapsed="false">
      <c r="A174" s="14" t="s">
        <v>22</v>
      </c>
      <c r="B174" s="14" t="s">
        <v>31</v>
      </c>
      <c r="C174" s="14" t="s">
        <v>27</v>
      </c>
      <c r="D174" s="14" t="s">
        <v>19</v>
      </c>
      <c r="E174" s="15" t="n">
        <v>342285</v>
      </c>
      <c r="F174" s="16" t="n">
        <v>59</v>
      </c>
      <c r="G174" s="15" t="n">
        <v>288848</v>
      </c>
    </row>
    <row r="175" customFormat="false" ht="15" hidden="false" customHeight="false" outlineLevel="0" collapsed="false">
      <c r="A175" s="14" t="s">
        <v>22</v>
      </c>
      <c r="B175" s="14" t="s">
        <v>31</v>
      </c>
      <c r="C175" s="14" t="s">
        <v>27</v>
      </c>
      <c r="D175" s="14" t="s">
        <v>20</v>
      </c>
      <c r="E175" s="15" t="n">
        <v>315955</v>
      </c>
      <c r="F175" s="16" t="n">
        <v>54</v>
      </c>
      <c r="G175" s="15" t="n">
        <v>266629</v>
      </c>
    </row>
    <row r="176" customFormat="false" ht="15" hidden="false" customHeight="false" outlineLevel="0" collapsed="false">
      <c r="A176" s="14" t="s">
        <v>23</v>
      </c>
      <c r="B176" s="14" t="s">
        <v>31</v>
      </c>
      <c r="C176" s="14" t="s">
        <v>27</v>
      </c>
      <c r="D176" s="14" t="s">
        <v>19</v>
      </c>
      <c r="E176" s="15" t="n">
        <v>427856</v>
      </c>
      <c r="F176" s="16" t="n">
        <v>74</v>
      </c>
      <c r="G176" s="15" t="n">
        <v>361060</v>
      </c>
    </row>
    <row r="177" customFormat="false" ht="15" hidden="false" customHeight="false" outlineLevel="0" collapsed="false">
      <c r="A177" s="14" t="s">
        <v>23</v>
      </c>
      <c r="B177" s="14" t="s">
        <v>31</v>
      </c>
      <c r="C177" s="14" t="s">
        <v>27</v>
      </c>
      <c r="D177" s="14" t="s">
        <v>20</v>
      </c>
      <c r="E177" s="15" t="n">
        <v>394944</v>
      </c>
      <c r="F177" s="16" t="n">
        <v>68</v>
      </c>
      <c r="G177" s="15" t="n">
        <v>333286</v>
      </c>
    </row>
    <row r="178" customFormat="false" ht="15" hidden="false" customHeight="false" outlineLevel="0" collapsed="false">
      <c r="A178" s="14" t="s">
        <v>24</v>
      </c>
      <c r="B178" s="14" t="s">
        <v>31</v>
      </c>
      <c r="C178" s="14" t="s">
        <v>27</v>
      </c>
      <c r="D178" s="14" t="s">
        <v>19</v>
      </c>
      <c r="E178" s="15" t="n">
        <v>406463</v>
      </c>
      <c r="F178" s="16" t="n">
        <v>70</v>
      </c>
      <c r="G178" s="15" t="n">
        <v>343007</v>
      </c>
    </row>
    <row r="179" customFormat="false" ht="15" hidden="false" customHeight="false" outlineLevel="0" collapsed="false">
      <c r="A179" s="14" t="s">
        <v>24</v>
      </c>
      <c r="B179" s="14" t="s">
        <v>31</v>
      </c>
      <c r="C179" s="14" t="s">
        <v>27</v>
      </c>
      <c r="D179" s="14" t="s">
        <v>20</v>
      </c>
      <c r="E179" s="15" t="n">
        <v>375197</v>
      </c>
      <c r="F179" s="16" t="n">
        <v>65</v>
      </c>
      <c r="G179" s="15" t="n">
        <v>316622</v>
      </c>
    </row>
    <row r="180" customFormat="false" ht="15" hidden="false" customHeight="false" outlineLevel="0" collapsed="false">
      <c r="A180" s="14" t="s">
        <v>25</v>
      </c>
      <c r="B180" s="14" t="s">
        <v>31</v>
      </c>
      <c r="C180" s="14" t="s">
        <v>27</v>
      </c>
      <c r="D180" s="14" t="s">
        <v>19</v>
      </c>
      <c r="E180" s="15" t="n">
        <v>385070</v>
      </c>
      <c r="F180" s="16" t="n">
        <v>66</v>
      </c>
      <c r="G180" s="15" t="n">
        <v>324954</v>
      </c>
    </row>
    <row r="181" customFormat="false" ht="15" hidden="false" customHeight="false" outlineLevel="0" collapsed="false">
      <c r="A181" s="14" t="s">
        <v>25</v>
      </c>
      <c r="B181" s="14" t="s">
        <v>31</v>
      </c>
      <c r="C181" s="14" t="s">
        <v>27</v>
      </c>
      <c r="D181" s="14" t="s">
        <v>20</v>
      </c>
      <c r="E181" s="15" t="n">
        <v>355450</v>
      </c>
      <c r="F181" s="16" t="n">
        <v>61</v>
      </c>
      <c r="G181" s="15" t="n">
        <v>299957</v>
      </c>
    </row>
    <row r="182" customFormat="false" ht="15" hidden="false" customHeight="false" outlineLevel="0" collapsed="false">
      <c r="A182" s="14" t="s">
        <v>16</v>
      </c>
      <c r="B182" s="14" t="s">
        <v>31</v>
      </c>
      <c r="C182" s="14" t="s">
        <v>28</v>
      </c>
      <c r="D182" s="14" t="s">
        <v>19</v>
      </c>
      <c r="E182" s="15" t="n">
        <v>227542</v>
      </c>
      <c r="F182" s="16" t="n">
        <v>44</v>
      </c>
      <c r="G182" s="15" t="n">
        <v>198813</v>
      </c>
    </row>
    <row r="183" customFormat="false" ht="15" hidden="false" customHeight="false" outlineLevel="0" collapsed="false">
      <c r="A183" s="14" t="s">
        <v>16</v>
      </c>
      <c r="B183" s="14" t="s">
        <v>31</v>
      </c>
      <c r="C183" s="14" t="s">
        <v>28</v>
      </c>
      <c r="D183" s="14" t="s">
        <v>20</v>
      </c>
      <c r="E183" s="15" t="n">
        <v>210038</v>
      </c>
      <c r="F183" s="16" t="n">
        <v>40</v>
      </c>
      <c r="G183" s="15" t="n">
        <v>183520</v>
      </c>
    </row>
    <row r="184" customFormat="false" ht="15" hidden="false" customHeight="false" outlineLevel="0" collapsed="false">
      <c r="A184" s="14" t="s">
        <v>21</v>
      </c>
      <c r="B184" s="14" t="s">
        <v>31</v>
      </c>
      <c r="C184" s="14" t="s">
        <v>28</v>
      </c>
      <c r="D184" s="14" t="s">
        <v>19</v>
      </c>
      <c r="E184" s="15" t="n">
        <v>245045</v>
      </c>
      <c r="F184" s="16" t="n">
        <v>47</v>
      </c>
      <c r="G184" s="15" t="n">
        <v>214106</v>
      </c>
    </row>
    <row r="185" customFormat="false" ht="15" hidden="false" customHeight="false" outlineLevel="0" collapsed="false">
      <c r="A185" s="14" t="s">
        <v>21</v>
      </c>
      <c r="B185" s="14" t="s">
        <v>31</v>
      </c>
      <c r="C185" s="14" t="s">
        <v>28</v>
      </c>
      <c r="D185" s="14" t="s">
        <v>20</v>
      </c>
      <c r="E185" s="15" t="n">
        <v>226195</v>
      </c>
      <c r="F185" s="16" t="n">
        <v>43</v>
      </c>
      <c r="G185" s="15" t="n">
        <v>197637</v>
      </c>
    </row>
    <row r="186" customFormat="false" ht="15" hidden="false" customHeight="false" outlineLevel="0" collapsed="false">
      <c r="A186" s="14" t="s">
        <v>22</v>
      </c>
      <c r="B186" s="14" t="s">
        <v>31</v>
      </c>
      <c r="C186" s="14" t="s">
        <v>28</v>
      </c>
      <c r="D186" s="14" t="s">
        <v>19</v>
      </c>
      <c r="E186" s="15" t="n">
        <v>280051</v>
      </c>
      <c r="F186" s="16" t="n">
        <v>54</v>
      </c>
      <c r="G186" s="15" t="n">
        <v>244693</v>
      </c>
    </row>
    <row r="187" customFormat="false" ht="15" hidden="false" customHeight="false" outlineLevel="0" collapsed="false">
      <c r="A187" s="14" t="s">
        <v>22</v>
      </c>
      <c r="B187" s="14" t="s">
        <v>31</v>
      </c>
      <c r="C187" s="14" t="s">
        <v>28</v>
      </c>
      <c r="D187" s="14" t="s">
        <v>20</v>
      </c>
      <c r="E187" s="15" t="n">
        <v>258509</v>
      </c>
      <c r="F187" s="16" t="n">
        <v>50</v>
      </c>
      <c r="G187" s="15" t="n">
        <v>225871</v>
      </c>
    </row>
    <row r="188" customFormat="false" ht="15" hidden="false" customHeight="false" outlineLevel="0" collapsed="false">
      <c r="A188" s="14" t="s">
        <v>23</v>
      </c>
      <c r="B188" s="14" t="s">
        <v>31</v>
      </c>
      <c r="C188" s="14" t="s">
        <v>28</v>
      </c>
      <c r="D188" s="14" t="s">
        <v>19</v>
      </c>
      <c r="E188" s="15" t="n">
        <v>350064</v>
      </c>
      <c r="F188" s="16" t="n">
        <v>67</v>
      </c>
      <c r="G188" s="15" t="n">
        <v>305866</v>
      </c>
    </row>
    <row r="189" customFormat="false" ht="15" hidden="false" customHeight="false" outlineLevel="0" collapsed="false">
      <c r="A189" s="14" t="s">
        <v>23</v>
      </c>
      <c r="B189" s="14" t="s">
        <v>31</v>
      </c>
      <c r="C189" s="14" t="s">
        <v>28</v>
      </c>
      <c r="D189" s="14" t="s">
        <v>20</v>
      </c>
      <c r="E189" s="15" t="n">
        <v>323136</v>
      </c>
      <c r="F189" s="16" t="n">
        <v>62</v>
      </c>
      <c r="G189" s="15" t="n">
        <v>282338</v>
      </c>
    </row>
    <row r="190" customFormat="false" ht="15" hidden="false" customHeight="false" outlineLevel="0" collapsed="false">
      <c r="A190" s="14" t="s">
        <v>24</v>
      </c>
      <c r="B190" s="14" t="s">
        <v>31</v>
      </c>
      <c r="C190" s="14" t="s">
        <v>28</v>
      </c>
      <c r="D190" s="14" t="s">
        <v>19</v>
      </c>
      <c r="E190" s="15" t="n">
        <v>332561</v>
      </c>
      <c r="F190" s="16" t="n">
        <v>64</v>
      </c>
      <c r="G190" s="15" t="n">
        <v>290573</v>
      </c>
    </row>
    <row r="191" customFormat="false" ht="15" hidden="false" customHeight="false" outlineLevel="0" collapsed="false">
      <c r="A191" s="14" t="s">
        <v>24</v>
      </c>
      <c r="B191" s="14" t="s">
        <v>31</v>
      </c>
      <c r="C191" s="14" t="s">
        <v>28</v>
      </c>
      <c r="D191" s="14" t="s">
        <v>20</v>
      </c>
      <c r="E191" s="15" t="n">
        <v>306979</v>
      </c>
      <c r="F191" s="16" t="n">
        <v>59</v>
      </c>
      <c r="G191" s="15" t="n">
        <v>268221</v>
      </c>
    </row>
    <row r="192" customFormat="false" ht="15" hidden="false" customHeight="false" outlineLevel="0" collapsed="false">
      <c r="A192" s="14" t="s">
        <v>25</v>
      </c>
      <c r="B192" s="14" t="s">
        <v>31</v>
      </c>
      <c r="C192" s="14" t="s">
        <v>28</v>
      </c>
      <c r="D192" s="14" t="s">
        <v>19</v>
      </c>
      <c r="E192" s="15" t="n">
        <v>315058</v>
      </c>
      <c r="F192" s="16" t="n">
        <v>61</v>
      </c>
      <c r="G192" s="15" t="n">
        <v>275280</v>
      </c>
    </row>
    <row r="193" customFormat="false" ht="15" hidden="false" customHeight="false" outlineLevel="0" collapsed="false">
      <c r="A193" s="14" t="s">
        <v>25</v>
      </c>
      <c r="B193" s="14" t="s">
        <v>31</v>
      </c>
      <c r="C193" s="14" t="s">
        <v>28</v>
      </c>
      <c r="D193" s="14" t="s">
        <v>20</v>
      </c>
      <c r="E193" s="15" t="n">
        <v>290822</v>
      </c>
      <c r="F193" s="16" t="n">
        <v>56</v>
      </c>
      <c r="G193" s="15" t="n">
        <v>254104</v>
      </c>
    </row>
    <row r="194" customFormat="false" ht="15" hidden="false" customHeight="false" outlineLevel="0" collapsed="false">
      <c r="A194" s="14" t="s">
        <v>16</v>
      </c>
      <c r="B194" s="14" t="s">
        <v>32</v>
      </c>
      <c r="C194" s="14" t="s">
        <v>18</v>
      </c>
      <c r="D194" s="14" t="s">
        <v>19</v>
      </c>
      <c r="E194" s="15" t="n">
        <v>65520</v>
      </c>
      <c r="F194" s="16" t="n">
        <v>8</v>
      </c>
      <c r="G194" s="15" t="n">
        <v>56629</v>
      </c>
    </row>
    <row r="195" customFormat="false" ht="15" hidden="false" customHeight="false" outlineLevel="0" collapsed="false">
      <c r="A195" s="14" t="s">
        <v>16</v>
      </c>
      <c r="B195" s="14" t="s">
        <v>32</v>
      </c>
      <c r="C195" s="14" t="s">
        <v>18</v>
      </c>
      <c r="D195" s="14" t="s">
        <v>20</v>
      </c>
      <c r="E195" s="15" t="n">
        <v>43680</v>
      </c>
      <c r="F195" s="16" t="n">
        <v>6</v>
      </c>
      <c r="G195" s="15" t="n">
        <v>37753</v>
      </c>
    </row>
    <row r="196" customFormat="false" ht="15" hidden="false" customHeight="false" outlineLevel="0" collapsed="false">
      <c r="A196" s="14" t="s">
        <v>21</v>
      </c>
      <c r="B196" s="14" t="s">
        <v>32</v>
      </c>
      <c r="C196" s="14" t="s">
        <v>18</v>
      </c>
      <c r="D196" s="14" t="s">
        <v>19</v>
      </c>
      <c r="E196" s="15" t="n">
        <v>70560</v>
      </c>
      <c r="F196" s="16" t="n">
        <v>9</v>
      </c>
      <c r="G196" s="15" t="n">
        <v>60985</v>
      </c>
    </row>
    <row r="197" customFormat="false" ht="15" hidden="false" customHeight="false" outlineLevel="0" collapsed="false">
      <c r="A197" s="14" t="s">
        <v>21</v>
      </c>
      <c r="B197" s="14" t="s">
        <v>32</v>
      </c>
      <c r="C197" s="14" t="s">
        <v>18</v>
      </c>
      <c r="D197" s="14" t="s">
        <v>20</v>
      </c>
      <c r="E197" s="15" t="n">
        <v>47040</v>
      </c>
      <c r="F197" s="16" t="n">
        <v>6</v>
      </c>
      <c r="G197" s="15" t="n">
        <v>40657</v>
      </c>
    </row>
    <row r="198" customFormat="false" ht="15" hidden="false" customHeight="false" outlineLevel="0" collapsed="false">
      <c r="A198" s="14" t="s">
        <v>22</v>
      </c>
      <c r="B198" s="14" t="s">
        <v>32</v>
      </c>
      <c r="C198" s="14" t="s">
        <v>18</v>
      </c>
      <c r="D198" s="14" t="s">
        <v>19</v>
      </c>
      <c r="E198" s="15" t="n">
        <v>80640</v>
      </c>
      <c r="F198" s="16" t="n">
        <v>10</v>
      </c>
      <c r="G198" s="15" t="n">
        <v>69697</v>
      </c>
    </row>
    <row r="199" customFormat="false" ht="15" hidden="false" customHeight="false" outlineLevel="0" collapsed="false">
      <c r="A199" s="14" t="s">
        <v>22</v>
      </c>
      <c r="B199" s="14" t="s">
        <v>32</v>
      </c>
      <c r="C199" s="14" t="s">
        <v>18</v>
      </c>
      <c r="D199" s="14" t="s">
        <v>20</v>
      </c>
      <c r="E199" s="15" t="n">
        <v>53760</v>
      </c>
      <c r="F199" s="16" t="n">
        <v>7</v>
      </c>
      <c r="G199" s="15" t="n">
        <v>46465</v>
      </c>
    </row>
    <row r="200" customFormat="false" ht="15" hidden="false" customHeight="false" outlineLevel="0" collapsed="false">
      <c r="A200" s="14" t="s">
        <v>23</v>
      </c>
      <c r="B200" s="14" t="s">
        <v>32</v>
      </c>
      <c r="C200" s="14" t="s">
        <v>18</v>
      </c>
      <c r="D200" s="14" t="s">
        <v>19</v>
      </c>
      <c r="E200" s="15" t="n">
        <v>100800</v>
      </c>
      <c r="F200" s="16" t="n">
        <v>13</v>
      </c>
      <c r="G200" s="15" t="n">
        <v>87122</v>
      </c>
    </row>
    <row r="201" customFormat="false" ht="15" hidden="false" customHeight="false" outlineLevel="0" collapsed="false">
      <c r="A201" s="14" t="s">
        <v>23</v>
      </c>
      <c r="B201" s="14" t="s">
        <v>32</v>
      </c>
      <c r="C201" s="14" t="s">
        <v>18</v>
      </c>
      <c r="D201" s="14" t="s">
        <v>20</v>
      </c>
      <c r="E201" s="15" t="n">
        <v>67200</v>
      </c>
      <c r="F201" s="16" t="n">
        <v>9</v>
      </c>
      <c r="G201" s="15" t="n">
        <v>58081</v>
      </c>
    </row>
    <row r="202" customFormat="false" ht="15" hidden="false" customHeight="false" outlineLevel="0" collapsed="false">
      <c r="A202" s="14" t="s">
        <v>24</v>
      </c>
      <c r="B202" s="14" t="s">
        <v>32</v>
      </c>
      <c r="C202" s="14" t="s">
        <v>18</v>
      </c>
      <c r="D202" s="14" t="s">
        <v>19</v>
      </c>
      <c r="E202" s="15" t="n">
        <v>95760</v>
      </c>
      <c r="F202" s="16" t="n">
        <v>12</v>
      </c>
      <c r="G202" s="15" t="n">
        <v>82766</v>
      </c>
    </row>
    <row r="203" customFormat="false" ht="15" hidden="false" customHeight="false" outlineLevel="0" collapsed="false">
      <c r="A203" s="14" t="s">
        <v>24</v>
      </c>
      <c r="B203" s="14" t="s">
        <v>32</v>
      </c>
      <c r="C203" s="14" t="s">
        <v>18</v>
      </c>
      <c r="D203" s="14" t="s">
        <v>20</v>
      </c>
      <c r="E203" s="15" t="n">
        <v>63840</v>
      </c>
      <c r="F203" s="16" t="n">
        <v>8</v>
      </c>
      <c r="G203" s="15" t="n">
        <v>55177</v>
      </c>
    </row>
    <row r="204" customFormat="false" ht="15" hidden="false" customHeight="false" outlineLevel="0" collapsed="false">
      <c r="A204" s="14" t="s">
        <v>25</v>
      </c>
      <c r="B204" s="14" t="s">
        <v>32</v>
      </c>
      <c r="C204" s="14" t="s">
        <v>18</v>
      </c>
      <c r="D204" s="14" t="s">
        <v>19</v>
      </c>
      <c r="E204" s="15" t="n">
        <v>90720</v>
      </c>
      <c r="F204" s="16" t="n">
        <v>11</v>
      </c>
      <c r="G204" s="15" t="n">
        <v>78410</v>
      </c>
    </row>
    <row r="205" customFormat="false" ht="15" hidden="false" customHeight="false" outlineLevel="0" collapsed="false">
      <c r="A205" s="14" t="s">
        <v>25</v>
      </c>
      <c r="B205" s="14" t="s">
        <v>32</v>
      </c>
      <c r="C205" s="14" t="s">
        <v>18</v>
      </c>
      <c r="D205" s="14" t="s">
        <v>20</v>
      </c>
      <c r="E205" s="15" t="n">
        <v>60480</v>
      </c>
      <c r="F205" s="16" t="n">
        <v>8</v>
      </c>
      <c r="G205" s="15" t="n">
        <v>52273</v>
      </c>
    </row>
    <row r="206" customFormat="false" ht="15" hidden="false" customHeight="false" outlineLevel="0" collapsed="false">
      <c r="A206" s="14" t="s">
        <v>16</v>
      </c>
      <c r="B206" s="14" t="s">
        <v>32</v>
      </c>
      <c r="C206" s="14" t="s">
        <v>26</v>
      </c>
      <c r="D206" s="14" t="s">
        <v>19</v>
      </c>
      <c r="E206" s="15" t="n">
        <v>44460</v>
      </c>
      <c r="F206" s="16" t="n">
        <v>5</v>
      </c>
      <c r="G206" s="15" t="n">
        <v>39293</v>
      </c>
    </row>
    <row r="207" customFormat="false" ht="15" hidden="false" customHeight="false" outlineLevel="0" collapsed="false">
      <c r="A207" s="14" t="s">
        <v>16</v>
      </c>
      <c r="B207" s="14" t="s">
        <v>32</v>
      </c>
      <c r="C207" s="14" t="s">
        <v>26</v>
      </c>
      <c r="D207" s="14" t="s">
        <v>20</v>
      </c>
      <c r="E207" s="15" t="n">
        <v>33540</v>
      </c>
      <c r="F207" s="16" t="n">
        <v>4</v>
      </c>
      <c r="G207" s="15" t="n">
        <v>29642</v>
      </c>
    </row>
    <row r="208" customFormat="false" ht="15" hidden="false" customHeight="false" outlineLevel="0" collapsed="false">
      <c r="A208" s="14" t="s">
        <v>21</v>
      </c>
      <c r="B208" s="14" t="s">
        <v>32</v>
      </c>
      <c r="C208" s="14" t="s">
        <v>26</v>
      </c>
      <c r="D208" s="14" t="s">
        <v>19</v>
      </c>
      <c r="E208" s="15" t="n">
        <v>47880</v>
      </c>
      <c r="F208" s="16" t="n">
        <v>5</v>
      </c>
      <c r="G208" s="15" t="n">
        <v>42316</v>
      </c>
    </row>
    <row r="209" customFormat="false" ht="15" hidden="false" customHeight="false" outlineLevel="0" collapsed="false">
      <c r="A209" s="14" t="s">
        <v>21</v>
      </c>
      <c r="B209" s="14" t="s">
        <v>32</v>
      </c>
      <c r="C209" s="14" t="s">
        <v>26</v>
      </c>
      <c r="D209" s="14" t="s">
        <v>20</v>
      </c>
      <c r="E209" s="15" t="n">
        <v>36120</v>
      </c>
      <c r="F209" s="16" t="n">
        <v>4</v>
      </c>
      <c r="G209" s="15" t="n">
        <v>31922</v>
      </c>
    </row>
    <row r="210" customFormat="false" ht="15" hidden="false" customHeight="false" outlineLevel="0" collapsed="false">
      <c r="A210" s="14" t="s">
        <v>22</v>
      </c>
      <c r="B210" s="14" t="s">
        <v>32</v>
      </c>
      <c r="C210" s="14" t="s">
        <v>26</v>
      </c>
      <c r="D210" s="14" t="s">
        <v>19</v>
      </c>
      <c r="E210" s="15" t="n">
        <v>54720</v>
      </c>
      <c r="F210" s="16" t="n">
        <v>6</v>
      </c>
      <c r="G210" s="15" t="n">
        <v>48361</v>
      </c>
    </row>
    <row r="211" customFormat="false" ht="15" hidden="false" customHeight="false" outlineLevel="0" collapsed="false">
      <c r="A211" s="14" t="s">
        <v>22</v>
      </c>
      <c r="B211" s="14" t="s">
        <v>32</v>
      </c>
      <c r="C211" s="14" t="s">
        <v>26</v>
      </c>
      <c r="D211" s="14" t="s">
        <v>20</v>
      </c>
      <c r="E211" s="15" t="n">
        <v>41280</v>
      </c>
      <c r="F211" s="16" t="n">
        <v>4</v>
      </c>
      <c r="G211" s="15" t="n">
        <v>36483</v>
      </c>
    </row>
    <row r="212" customFormat="false" ht="15" hidden="false" customHeight="false" outlineLevel="0" collapsed="false">
      <c r="A212" s="14" t="s">
        <v>23</v>
      </c>
      <c r="B212" s="14" t="s">
        <v>32</v>
      </c>
      <c r="C212" s="14" t="s">
        <v>26</v>
      </c>
      <c r="D212" s="14" t="s">
        <v>19</v>
      </c>
      <c r="E212" s="15" t="n">
        <v>68400</v>
      </c>
      <c r="F212" s="16" t="n">
        <v>7</v>
      </c>
      <c r="G212" s="15" t="n">
        <v>60451</v>
      </c>
    </row>
    <row r="213" customFormat="false" ht="15" hidden="false" customHeight="false" outlineLevel="0" collapsed="false">
      <c r="A213" s="14" t="s">
        <v>23</v>
      </c>
      <c r="B213" s="14" t="s">
        <v>32</v>
      </c>
      <c r="C213" s="14" t="s">
        <v>26</v>
      </c>
      <c r="D213" s="14" t="s">
        <v>20</v>
      </c>
      <c r="E213" s="15" t="n">
        <v>51600</v>
      </c>
      <c r="F213" s="16" t="n">
        <v>6</v>
      </c>
      <c r="G213" s="15" t="n">
        <v>45603</v>
      </c>
    </row>
    <row r="214" customFormat="false" ht="15" hidden="false" customHeight="false" outlineLevel="0" collapsed="false">
      <c r="A214" s="14" t="s">
        <v>24</v>
      </c>
      <c r="B214" s="14" t="s">
        <v>32</v>
      </c>
      <c r="C214" s="14" t="s">
        <v>26</v>
      </c>
      <c r="D214" s="14" t="s">
        <v>19</v>
      </c>
      <c r="E214" s="15" t="n">
        <v>64980</v>
      </c>
      <c r="F214" s="16" t="n">
        <v>7</v>
      </c>
      <c r="G214" s="15" t="n">
        <v>57428</v>
      </c>
    </row>
    <row r="215" customFormat="false" ht="15" hidden="false" customHeight="false" outlineLevel="0" collapsed="false">
      <c r="A215" s="14" t="s">
        <v>24</v>
      </c>
      <c r="B215" s="14" t="s">
        <v>32</v>
      </c>
      <c r="C215" s="14" t="s">
        <v>26</v>
      </c>
      <c r="D215" s="14" t="s">
        <v>20</v>
      </c>
      <c r="E215" s="15" t="n">
        <v>49020</v>
      </c>
      <c r="F215" s="16" t="n">
        <v>5</v>
      </c>
      <c r="G215" s="15" t="n">
        <v>43323</v>
      </c>
    </row>
    <row r="216" customFormat="false" ht="15" hidden="false" customHeight="false" outlineLevel="0" collapsed="false">
      <c r="A216" s="14" t="s">
        <v>25</v>
      </c>
      <c r="B216" s="14" t="s">
        <v>32</v>
      </c>
      <c r="C216" s="14" t="s">
        <v>26</v>
      </c>
      <c r="D216" s="14" t="s">
        <v>19</v>
      </c>
      <c r="E216" s="15" t="n">
        <v>61560</v>
      </c>
      <c r="F216" s="16" t="n">
        <v>7</v>
      </c>
      <c r="G216" s="15" t="n">
        <v>54406</v>
      </c>
    </row>
    <row r="217" customFormat="false" ht="15" hidden="false" customHeight="false" outlineLevel="0" collapsed="false">
      <c r="A217" s="14" t="s">
        <v>25</v>
      </c>
      <c r="B217" s="14" t="s">
        <v>32</v>
      </c>
      <c r="C217" s="14" t="s">
        <v>26</v>
      </c>
      <c r="D217" s="14" t="s">
        <v>20</v>
      </c>
      <c r="E217" s="15" t="n">
        <v>46440</v>
      </c>
      <c r="F217" s="16" t="n">
        <v>5</v>
      </c>
      <c r="G217" s="15" t="n">
        <v>41043</v>
      </c>
    </row>
    <row r="218" customFormat="false" ht="15" hidden="false" customHeight="false" outlineLevel="0" collapsed="false">
      <c r="A218" s="14" t="s">
        <v>16</v>
      </c>
      <c r="B218" s="14" t="s">
        <v>32</v>
      </c>
      <c r="C218" s="14" t="s">
        <v>27</v>
      </c>
      <c r="D218" s="14" t="s">
        <v>19</v>
      </c>
      <c r="E218" s="15" t="n">
        <v>35693</v>
      </c>
      <c r="F218" s="16" t="n">
        <v>6</v>
      </c>
      <c r="G218" s="15" t="n">
        <v>31064</v>
      </c>
    </row>
    <row r="219" customFormat="false" ht="15" hidden="false" customHeight="false" outlineLevel="0" collapsed="false">
      <c r="A219" s="14" t="s">
        <v>16</v>
      </c>
      <c r="B219" s="14" t="s">
        <v>32</v>
      </c>
      <c r="C219" s="14" t="s">
        <v>27</v>
      </c>
      <c r="D219" s="14" t="s">
        <v>20</v>
      </c>
      <c r="E219" s="15" t="n">
        <v>32947</v>
      </c>
      <c r="F219" s="16" t="n">
        <v>6</v>
      </c>
      <c r="G219" s="15" t="n">
        <v>28675</v>
      </c>
    </row>
    <row r="220" customFormat="false" ht="15" hidden="false" customHeight="false" outlineLevel="0" collapsed="false">
      <c r="A220" s="14" t="s">
        <v>21</v>
      </c>
      <c r="B220" s="14" t="s">
        <v>32</v>
      </c>
      <c r="C220" s="14" t="s">
        <v>27</v>
      </c>
      <c r="D220" s="14" t="s">
        <v>19</v>
      </c>
      <c r="E220" s="15" t="n">
        <v>38438</v>
      </c>
      <c r="F220" s="16" t="n">
        <v>7</v>
      </c>
      <c r="G220" s="15" t="n">
        <v>33454</v>
      </c>
    </row>
    <row r="221" customFormat="false" ht="15" hidden="false" customHeight="false" outlineLevel="0" collapsed="false">
      <c r="A221" s="14" t="s">
        <v>21</v>
      </c>
      <c r="B221" s="14" t="s">
        <v>32</v>
      </c>
      <c r="C221" s="14" t="s">
        <v>27</v>
      </c>
      <c r="D221" s="14" t="s">
        <v>20</v>
      </c>
      <c r="E221" s="15" t="n">
        <v>35482</v>
      </c>
      <c r="F221" s="16" t="n">
        <v>6</v>
      </c>
      <c r="G221" s="15" t="n">
        <v>30880</v>
      </c>
    </row>
    <row r="222" customFormat="false" ht="15" hidden="false" customHeight="false" outlineLevel="0" collapsed="false">
      <c r="A222" s="14" t="s">
        <v>22</v>
      </c>
      <c r="B222" s="14" t="s">
        <v>32</v>
      </c>
      <c r="C222" s="14" t="s">
        <v>27</v>
      </c>
      <c r="D222" s="14" t="s">
        <v>19</v>
      </c>
      <c r="E222" s="15" t="n">
        <v>43930</v>
      </c>
      <c r="F222" s="16" t="n">
        <v>8</v>
      </c>
      <c r="G222" s="15" t="n">
        <v>38233</v>
      </c>
    </row>
    <row r="223" customFormat="false" ht="15" hidden="false" customHeight="false" outlineLevel="0" collapsed="false">
      <c r="A223" s="14" t="s">
        <v>22</v>
      </c>
      <c r="B223" s="14" t="s">
        <v>32</v>
      </c>
      <c r="C223" s="14" t="s">
        <v>27</v>
      </c>
      <c r="D223" s="14" t="s">
        <v>20</v>
      </c>
      <c r="E223" s="15" t="n">
        <v>40550</v>
      </c>
      <c r="F223" s="16" t="n">
        <v>7</v>
      </c>
      <c r="G223" s="15" t="n">
        <v>35292</v>
      </c>
    </row>
    <row r="224" customFormat="false" ht="15" hidden="false" customHeight="false" outlineLevel="0" collapsed="false">
      <c r="A224" s="14" t="s">
        <v>23</v>
      </c>
      <c r="B224" s="14" t="s">
        <v>32</v>
      </c>
      <c r="C224" s="14" t="s">
        <v>27</v>
      </c>
      <c r="D224" s="14" t="s">
        <v>19</v>
      </c>
      <c r="E224" s="15" t="n">
        <v>54912</v>
      </c>
      <c r="F224" s="16" t="n">
        <v>9</v>
      </c>
      <c r="G224" s="15" t="n">
        <v>47791</v>
      </c>
    </row>
    <row r="225" customFormat="false" ht="15" hidden="false" customHeight="false" outlineLevel="0" collapsed="false">
      <c r="A225" s="14" t="s">
        <v>23</v>
      </c>
      <c r="B225" s="14" t="s">
        <v>32</v>
      </c>
      <c r="C225" s="14" t="s">
        <v>27</v>
      </c>
      <c r="D225" s="14" t="s">
        <v>20</v>
      </c>
      <c r="E225" s="15" t="n">
        <v>50688</v>
      </c>
      <c r="F225" s="16" t="n">
        <v>9</v>
      </c>
      <c r="G225" s="15" t="n">
        <v>44115</v>
      </c>
    </row>
    <row r="226" customFormat="false" ht="15" hidden="false" customHeight="false" outlineLevel="0" collapsed="false">
      <c r="A226" s="14" t="s">
        <v>24</v>
      </c>
      <c r="B226" s="14" t="s">
        <v>32</v>
      </c>
      <c r="C226" s="14" t="s">
        <v>27</v>
      </c>
      <c r="D226" s="14" t="s">
        <v>19</v>
      </c>
      <c r="E226" s="15" t="n">
        <v>52166</v>
      </c>
      <c r="F226" s="16" t="n">
        <v>9</v>
      </c>
      <c r="G226" s="15" t="n">
        <v>45402</v>
      </c>
    </row>
    <row r="227" customFormat="false" ht="15" hidden="false" customHeight="false" outlineLevel="0" collapsed="false">
      <c r="A227" s="14" t="s">
        <v>24</v>
      </c>
      <c r="B227" s="14" t="s">
        <v>32</v>
      </c>
      <c r="C227" s="14" t="s">
        <v>27</v>
      </c>
      <c r="D227" s="14" t="s">
        <v>20</v>
      </c>
      <c r="E227" s="15" t="n">
        <v>48154</v>
      </c>
      <c r="F227" s="16" t="n">
        <v>8</v>
      </c>
      <c r="G227" s="15" t="n">
        <v>41909</v>
      </c>
    </row>
    <row r="228" customFormat="false" ht="15" hidden="false" customHeight="false" outlineLevel="0" collapsed="false">
      <c r="A228" s="14" t="s">
        <v>25</v>
      </c>
      <c r="B228" s="14" t="s">
        <v>32</v>
      </c>
      <c r="C228" s="14" t="s">
        <v>27</v>
      </c>
      <c r="D228" s="14" t="s">
        <v>19</v>
      </c>
      <c r="E228" s="15" t="n">
        <v>49421</v>
      </c>
      <c r="F228" s="16" t="n">
        <v>9</v>
      </c>
      <c r="G228" s="15" t="n">
        <v>43012</v>
      </c>
    </row>
    <row r="229" customFormat="false" ht="15" hidden="false" customHeight="false" outlineLevel="0" collapsed="false">
      <c r="A229" s="14" t="s">
        <v>25</v>
      </c>
      <c r="B229" s="14" t="s">
        <v>32</v>
      </c>
      <c r="C229" s="14" t="s">
        <v>27</v>
      </c>
      <c r="D229" s="14" t="s">
        <v>20</v>
      </c>
      <c r="E229" s="15" t="n">
        <v>45619</v>
      </c>
      <c r="F229" s="16" t="n">
        <v>8</v>
      </c>
      <c r="G229" s="15" t="n">
        <v>39703</v>
      </c>
    </row>
    <row r="230" customFormat="false" ht="15" hidden="false" customHeight="false" outlineLevel="0" collapsed="false">
      <c r="A230" s="14" t="s">
        <v>16</v>
      </c>
      <c r="B230" s="14" t="s">
        <v>32</v>
      </c>
      <c r="C230" s="14" t="s">
        <v>28</v>
      </c>
      <c r="D230" s="14" t="s">
        <v>19</v>
      </c>
      <c r="E230" s="15" t="n">
        <v>29203</v>
      </c>
      <c r="F230" s="16" t="n">
        <v>6</v>
      </c>
      <c r="G230" s="15" t="n">
        <v>26345</v>
      </c>
    </row>
    <row r="231" customFormat="false" ht="15" hidden="false" customHeight="false" outlineLevel="0" collapsed="false">
      <c r="A231" s="14" t="s">
        <v>16</v>
      </c>
      <c r="B231" s="14" t="s">
        <v>32</v>
      </c>
      <c r="C231" s="14" t="s">
        <v>28</v>
      </c>
      <c r="D231" s="14" t="s">
        <v>20</v>
      </c>
      <c r="E231" s="15" t="n">
        <v>26957</v>
      </c>
      <c r="F231" s="16" t="n">
        <v>5</v>
      </c>
      <c r="G231" s="15" t="n">
        <v>24318</v>
      </c>
    </row>
    <row r="232" customFormat="false" ht="15" hidden="false" customHeight="false" outlineLevel="0" collapsed="false">
      <c r="A232" s="14" t="s">
        <v>21</v>
      </c>
      <c r="B232" s="14" t="s">
        <v>32</v>
      </c>
      <c r="C232" s="14" t="s">
        <v>28</v>
      </c>
      <c r="D232" s="14" t="s">
        <v>19</v>
      </c>
      <c r="E232" s="15" t="n">
        <v>31450</v>
      </c>
      <c r="F232" s="16" t="n">
        <v>6</v>
      </c>
      <c r="G232" s="15" t="n">
        <v>28371</v>
      </c>
    </row>
    <row r="233" customFormat="false" ht="15" hidden="false" customHeight="false" outlineLevel="0" collapsed="false">
      <c r="A233" s="14" t="s">
        <v>21</v>
      </c>
      <c r="B233" s="14" t="s">
        <v>32</v>
      </c>
      <c r="C233" s="14" t="s">
        <v>28</v>
      </c>
      <c r="D233" s="14" t="s">
        <v>20</v>
      </c>
      <c r="E233" s="15" t="n">
        <v>29030</v>
      </c>
      <c r="F233" s="16" t="n">
        <v>6</v>
      </c>
      <c r="G233" s="15" t="n">
        <v>26189</v>
      </c>
    </row>
    <row r="234" customFormat="false" ht="15" hidden="false" customHeight="false" outlineLevel="0" collapsed="false">
      <c r="A234" s="14" t="s">
        <v>22</v>
      </c>
      <c r="B234" s="14" t="s">
        <v>32</v>
      </c>
      <c r="C234" s="14" t="s">
        <v>28</v>
      </c>
      <c r="D234" s="14" t="s">
        <v>19</v>
      </c>
      <c r="E234" s="15" t="n">
        <v>35942</v>
      </c>
      <c r="F234" s="16" t="n">
        <v>7</v>
      </c>
      <c r="G234" s="15" t="n">
        <v>32424</v>
      </c>
    </row>
    <row r="235" customFormat="false" ht="15" hidden="false" customHeight="false" outlineLevel="0" collapsed="false">
      <c r="A235" s="14" t="s">
        <v>22</v>
      </c>
      <c r="B235" s="14" t="s">
        <v>32</v>
      </c>
      <c r="C235" s="14" t="s">
        <v>28</v>
      </c>
      <c r="D235" s="14" t="s">
        <v>20</v>
      </c>
      <c r="E235" s="15" t="n">
        <v>33178</v>
      </c>
      <c r="F235" s="16" t="n">
        <v>6</v>
      </c>
      <c r="G235" s="15" t="n">
        <v>29930</v>
      </c>
    </row>
    <row r="236" customFormat="false" ht="15" hidden="false" customHeight="false" outlineLevel="0" collapsed="false">
      <c r="A236" s="14" t="s">
        <v>23</v>
      </c>
      <c r="B236" s="14" t="s">
        <v>32</v>
      </c>
      <c r="C236" s="14" t="s">
        <v>28</v>
      </c>
      <c r="D236" s="14" t="s">
        <v>19</v>
      </c>
      <c r="E236" s="15" t="n">
        <v>44928</v>
      </c>
      <c r="F236" s="16" t="n">
        <v>9</v>
      </c>
      <c r="G236" s="15" t="n">
        <v>40530</v>
      </c>
    </row>
    <row r="237" customFormat="false" ht="15" hidden="false" customHeight="false" outlineLevel="0" collapsed="false">
      <c r="A237" s="14" t="s">
        <v>23</v>
      </c>
      <c r="B237" s="14" t="s">
        <v>32</v>
      </c>
      <c r="C237" s="14" t="s">
        <v>28</v>
      </c>
      <c r="D237" s="14" t="s">
        <v>20</v>
      </c>
      <c r="E237" s="15" t="n">
        <v>41472</v>
      </c>
      <c r="F237" s="16" t="n">
        <v>8</v>
      </c>
      <c r="G237" s="15" t="n">
        <v>37413</v>
      </c>
    </row>
    <row r="238" customFormat="false" ht="15" hidden="false" customHeight="false" outlineLevel="0" collapsed="false">
      <c r="A238" s="14" t="s">
        <v>24</v>
      </c>
      <c r="B238" s="14" t="s">
        <v>32</v>
      </c>
      <c r="C238" s="14" t="s">
        <v>28</v>
      </c>
      <c r="D238" s="14" t="s">
        <v>19</v>
      </c>
      <c r="E238" s="15" t="n">
        <v>42682</v>
      </c>
      <c r="F238" s="16" t="n">
        <v>8</v>
      </c>
      <c r="G238" s="15" t="n">
        <v>38504</v>
      </c>
    </row>
    <row r="239" customFormat="false" ht="15" hidden="false" customHeight="false" outlineLevel="0" collapsed="false">
      <c r="A239" s="14" t="s">
        <v>24</v>
      </c>
      <c r="B239" s="14" t="s">
        <v>32</v>
      </c>
      <c r="C239" s="14" t="s">
        <v>28</v>
      </c>
      <c r="D239" s="14" t="s">
        <v>20</v>
      </c>
      <c r="E239" s="15" t="n">
        <v>39398</v>
      </c>
      <c r="F239" s="16" t="n">
        <v>8</v>
      </c>
      <c r="G239" s="15" t="n">
        <v>35542</v>
      </c>
    </row>
    <row r="240" customFormat="false" ht="15" hidden="false" customHeight="false" outlineLevel="0" collapsed="false">
      <c r="A240" s="14" t="s">
        <v>25</v>
      </c>
      <c r="B240" s="14" t="s">
        <v>32</v>
      </c>
      <c r="C240" s="14" t="s">
        <v>28</v>
      </c>
      <c r="D240" s="14" t="s">
        <v>19</v>
      </c>
      <c r="E240" s="15" t="n">
        <v>40435</v>
      </c>
      <c r="F240" s="16" t="n">
        <v>8</v>
      </c>
      <c r="G240" s="15" t="n">
        <v>36477</v>
      </c>
    </row>
    <row r="241" customFormat="false" ht="15" hidden="false" customHeight="false" outlineLevel="0" collapsed="false">
      <c r="A241" s="14" t="s">
        <v>25</v>
      </c>
      <c r="B241" s="14" t="s">
        <v>32</v>
      </c>
      <c r="C241" s="14" t="s">
        <v>28</v>
      </c>
      <c r="D241" s="14" t="s">
        <v>20</v>
      </c>
      <c r="E241" s="15" t="n">
        <v>37325</v>
      </c>
      <c r="F241" s="16" t="n">
        <v>7</v>
      </c>
      <c r="G241" s="15" t="n">
        <v>33671</v>
      </c>
    </row>
    <row r="242" customFormat="false" ht="15" hidden="false" customHeight="false" outlineLevel="0" collapsed="false">
      <c r="A242" s="14" t="s">
        <v>16</v>
      </c>
      <c r="B242" s="14" t="s">
        <v>33</v>
      </c>
      <c r="C242" s="14" t="s">
        <v>18</v>
      </c>
      <c r="D242" s="14" t="s">
        <v>19</v>
      </c>
      <c r="E242" s="15" t="n">
        <v>60060</v>
      </c>
      <c r="F242" s="16" t="n">
        <v>8</v>
      </c>
      <c r="G242" s="15" t="n">
        <v>52226</v>
      </c>
    </row>
    <row r="243" customFormat="false" ht="15" hidden="false" customHeight="false" outlineLevel="0" collapsed="false">
      <c r="A243" s="14" t="s">
        <v>16</v>
      </c>
      <c r="B243" s="14" t="s">
        <v>33</v>
      </c>
      <c r="C243" s="14" t="s">
        <v>18</v>
      </c>
      <c r="D243" s="14" t="s">
        <v>20</v>
      </c>
      <c r="E243" s="15" t="n">
        <v>40040</v>
      </c>
      <c r="F243" s="16" t="n">
        <v>5</v>
      </c>
      <c r="G243" s="15" t="n">
        <v>34817</v>
      </c>
    </row>
    <row r="244" customFormat="false" ht="15" hidden="false" customHeight="false" outlineLevel="0" collapsed="false">
      <c r="A244" s="14" t="s">
        <v>21</v>
      </c>
      <c r="B244" s="14" t="s">
        <v>33</v>
      </c>
      <c r="C244" s="14" t="s">
        <v>18</v>
      </c>
      <c r="D244" s="14" t="s">
        <v>19</v>
      </c>
      <c r="E244" s="15" t="n">
        <v>64680</v>
      </c>
      <c r="F244" s="16" t="n">
        <v>8</v>
      </c>
      <c r="G244" s="15" t="n">
        <v>56243</v>
      </c>
    </row>
    <row r="245" customFormat="false" ht="15" hidden="false" customHeight="false" outlineLevel="0" collapsed="false">
      <c r="A245" s="14" t="s">
        <v>21</v>
      </c>
      <c r="B245" s="14" t="s">
        <v>33</v>
      </c>
      <c r="C245" s="14" t="s">
        <v>18</v>
      </c>
      <c r="D245" s="14" t="s">
        <v>20</v>
      </c>
      <c r="E245" s="15" t="n">
        <v>43120</v>
      </c>
      <c r="F245" s="16" t="n">
        <v>5</v>
      </c>
      <c r="G245" s="15" t="n">
        <v>37496</v>
      </c>
    </row>
    <row r="246" customFormat="false" ht="15" hidden="false" customHeight="false" outlineLevel="0" collapsed="false">
      <c r="A246" s="14" t="s">
        <v>22</v>
      </c>
      <c r="B246" s="14" t="s">
        <v>33</v>
      </c>
      <c r="C246" s="14" t="s">
        <v>18</v>
      </c>
      <c r="D246" s="14" t="s">
        <v>19</v>
      </c>
      <c r="E246" s="15" t="n">
        <v>73920</v>
      </c>
      <c r="F246" s="16" t="n">
        <v>9</v>
      </c>
      <c r="G246" s="15" t="n">
        <v>64278</v>
      </c>
    </row>
    <row r="247" customFormat="false" ht="15" hidden="false" customHeight="false" outlineLevel="0" collapsed="false">
      <c r="A247" s="14" t="s">
        <v>22</v>
      </c>
      <c r="B247" s="14" t="s">
        <v>33</v>
      </c>
      <c r="C247" s="14" t="s">
        <v>18</v>
      </c>
      <c r="D247" s="14" t="s">
        <v>20</v>
      </c>
      <c r="E247" s="15" t="n">
        <v>49280</v>
      </c>
      <c r="F247" s="16" t="n">
        <v>6</v>
      </c>
      <c r="G247" s="15" t="n">
        <v>42852</v>
      </c>
    </row>
    <row r="248" customFormat="false" ht="15" hidden="false" customHeight="false" outlineLevel="0" collapsed="false">
      <c r="A248" s="14" t="s">
        <v>23</v>
      </c>
      <c r="B248" s="14" t="s">
        <v>33</v>
      </c>
      <c r="C248" s="14" t="s">
        <v>18</v>
      </c>
      <c r="D248" s="14" t="s">
        <v>19</v>
      </c>
      <c r="E248" s="15" t="n">
        <v>92400</v>
      </c>
      <c r="F248" s="16" t="n">
        <v>12</v>
      </c>
      <c r="G248" s="15" t="n">
        <v>80348</v>
      </c>
    </row>
    <row r="249" customFormat="false" ht="15" hidden="false" customHeight="false" outlineLevel="0" collapsed="false">
      <c r="A249" s="14" t="s">
        <v>23</v>
      </c>
      <c r="B249" s="14" t="s">
        <v>33</v>
      </c>
      <c r="C249" s="14" t="s">
        <v>18</v>
      </c>
      <c r="D249" s="14" t="s">
        <v>20</v>
      </c>
      <c r="E249" s="15" t="n">
        <v>61600</v>
      </c>
      <c r="F249" s="16" t="n">
        <v>8</v>
      </c>
      <c r="G249" s="15" t="n">
        <v>53565</v>
      </c>
    </row>
    <row r="250" customFormat="false" ht="15" hidden="false" customHeight="false" outlineLevel="0" collapsed="false">
      <c r="A250" s="14" t="s">
        <v>24</v>
      </c>
      <c r="B250" s="14" t="s">
        <v>33</v>
      </c>
      <c r="C250" s="14" t="s">
        <v>18</v>
      </c>
      <c r="D250" s="14" t="s">
        <v>19</v>
      </c>
      <c r="E250" s="15" t="n">
        <v>87780</v>
      </c>
      <c r="F250" s="16" t="n">
        <v>11</v>
      </c>
      <c r="G250" s="15" t="n">
        <v>76330</v>
      </c>
    </row>
    <row r="251" customFormat="false" ht="15" hidden="false" customHeight="false" outlineLevel="0" collapsed="false">
      <c r="A251" s="14" t="s">
        <v>24</v>
      </c>
      <c r="B251" s="14" t="s">
        <v>33</v>
      </c>
      <c r="C251" s="14" t="s">
        <v>18</v>
      </c>
      <c r="D251" s="14" t="s">
        <v>20</v>
      </c>
      <c r="E251" s="15" t="n">
        <v>58520</v>
      </c>
      <c r="F251" s="16" t="n">
        <v>7</v>
      </c>
      <c r="G251" s="15" t="n">
        <v>50887</v>
      </c>
    </row>
    <row r="252" customFormat="false" ht="15" hidden="false" customHeight="false" outlineLevel="0" collapsed="false">
      <c r="A252" s="14" t="s">
        <v>25</v>
      </c>
      <c r="B252" s="14" t="s">
        <v>33</v>
      </c>
      <c r="C252" s="14" t="s">
        <v>18</v>
      </c>
      <c r="D252" s="14" t="s">
        <v>19</v>
      </c>
      <c r="E252" s="15" t="n">
        <v>83160</v>
      </c>
      <c r="F252" s="16" t="n">
        <v>11</v>
      </c>
      <c r="G252" s="15" t="n">
        <v>72313</v>
      </c>
    </row>
    <row r="253" customFormat="false" ht="15" hidden="false" customHeight="false" outlineLevel="0" collapsed="false">
      <c r="A253" s="14" t="s">
        <v>25</v>
      </c>
      <c r="B253" s="14" t="s">
        <v>33</v>
      </c>
      <c r="C253" s="14" t="s">
        <v>18</v>
      </c>
      <c r="D253" s="14" t="s">
        <v>20</v>
      </c>
      <c r="E253" s="15" t="n">
        <v>55440</v>
      </c>
      <c r="F253" s="16" t="n">
        <v>7</v>
      </c>
      <c r="G253" s="15" t="n">
        <v>48209</v>
      </c>
    </row>
    <row r="254" customFormat="false" ht="15" hidden="false" customHeight="false" outlineLevel="0" collapsed="false">
      <c r="A254" s="14" t="s">
        <v>16</v>
      </c>
      <c r="B254" s="14" t="s">
        <v>33</v>
      </c>
      <c r="C254" s="14" t="s">
        <v>26</v>
      </c>
      <c r="D254" s="14" t="s">
        <v>19</v>
      </c>
      <c r="E254" s="15" t="n">
        <v>40755</v>
      </c>
      <c r="F254" s="16" t="n">
        <v>4</v>
      </c>
      <c r="G254" s="15" t="n">
        <v>36243</v>
      </c>
    </row>
    <row r="255" customFormat="false" ht="15" hidden="false" customHeight="false" outlineLevel="0" collapsed="false">
      <c r="A255" s="14" t="s">
        <v>16</v>
      </c>
      <c r="B255" s="14" t="s">
        <v>33</v>
      </c>
      <c r="C255" s="14" t="s">
        <v>26</v>
      </c>
      <c r="D255" s="14" t="s">
        <v>20</v>
      </c>
      <c r="E255" s="15" t="n">
        <v>30745</v>
      </c>
      <c r="F255" s="16" t="n">
        <v>3</v>
      </c>
      <c r="G255" s="15" t="n">
        <v>27341</v>
      </c>
    </row>
    <row r="256" customFormat="false" ht="15" hidden="false" customHeight="false" outlineLevel="0" collapsed="false">
      <c r="A256" s="14" t="s">
        <v>21</v>
      </c>
      <c r="B256" s="14" t="s">
        <v>33</v>
      </c>
      <c r="C256" s="14" t="s">
        <v>26</v>
      </c>
      <c r="D256" s="14" t="s">
        <v>19</v>
      </c>
      <c r="E256" s="15" t="n">
        <v>43890</v>
      </c>
      <c r="F256" s="16" t="n">
        <v>5</v>
      </c>
      <c r="G256" s="15" t="n">
        <v>39031</v>
      </c>
    </row>
    <row r="257" customFormat="false" ht="15" hidden="false" customHeight="false" outlineLevel="0" collapsed="false">
      <c r="A257" s="14" t="s">
        <v>21</v>
      </c>
      <c r="B257" s="14" t="s">
        <v>33</v>
      </c>
      <c r="C257" s="14" t="s">
        <v>26</v>
      </c>
      <c r="D257" s="14" t="s">
        <v>20</v>
      </c>
      <c r="E257" s="15" t="n">
        <v>33110</v>
      </c>
      <c r="F257" s="16" t="n">
        <v>4</v>
      </c>
      <c r="G257" s="15" t="n">
        <v>29444</v>
      </c>
    </row>
    <row r="258" customFormat="false" ht="15" hidden="false" customHeight="false" outlineLevel="0" collapsed="false">
      <c r="A258" s="14" t="s">
        <v>22</v>
      </c>
      <c r="B258" s="14" t="s">
        <v>33</v>
      </c>
      <c r="C258" s="14" t="s">
        <v>26</v>
      </c>
      <c r="D258" s="14" t="s">
        <v>19</v>
      </c>
      <c r="E258" s="15" t="n">
        <v>50160</v>
      </c>
      <c r="F258" s="16" t="n">
        <v>5</v>
      </c>
      <c r="G258" s="15" t="n">
        <v>44606</v>
      </c>
    </row>
    <row r="259" customFormat="false" ht="15" hidden="false" customHeight="false" outlineLevel="0" collapsed="false">
      <c r="A259" s="14" t="s">
        <v>22</v>
      </c>
      <c r="B259" s="14" t="s">
        <v>33</v>
      </c>
      <c r="C259" s="14" t="s">
        <v>26</v>
      </c>
      <c r="D259" s="14" t="s">
        <v>20</v>
      </c>
      <c r="E259" s="15" t="n">
        <v>37840</v>
      </c>
      <c r="F259" s="16" t="n">
        <v>4</v>
      </c>
      <c r="G259" s="15" t="n">
        <v>33651</v>
      </c>
    </row>
    <row r="260" customFormat="false" ht="15" hidden="false" customHeight="false" outlineLevel="0" collapsed="false">
      <c r="A260" s="14" t="s">
        <v>23</v>
      </c>
      <c r="B260" s="14" t="s">
        <v>33</v>
      </c>
      <c r="C260" s="14" t="s">
        <v>26</v>
      </c>
      <c r="D260" s="14" t="s">
        <v>19</v>
      </c>
      <c r="E260" s="15" t="n">
        <v>62700</v>
      </c>
      <c r="F260" s="16" t="n">
        <v>7</v>
      </c>
      <c r="G260" s="15" t="n">
        <v>55758</v>
      </c>
    </row>
    <row r="261" customFormat="false" ht="15" hidden="false" customHeight="false" outlineLevel="0" collapsed="false">
      <c r="A261" s="14" t="s">
        <v>23</v>
      </c>
      <c r="B261" s="14" t="s">
        <v>33</v>
      </c>
      <c r="C261" s="14" t="s">
        <v>26</v>
      </c>
      <c r="D261" s="14" t="s">
        <v>20</v>
      </c>
      <c r="E261" s="15" t="n">
        <v>47300</v>
      </c>
      <c r="F261" s="16" t="n">
        <v>5</v>
      </c>
      <c r="G261" s="15" t="n">
        <v>42063</v>
      </c>
    </row>
    <row r="262" customFormat="false" ht="15" hidden="false" customHeight="false" outlineLevel="0" collapsed="false">
      <c r="A262" s="14" t="s">
        <v>24</v>
      </c>
      <c r="B262" s="14" t="s">
        <v>33</v>
      </c>
      <c r="C262" s="14" t="s">
        <v>26</v>
      </c>
      <c r="D262" s="14" t="s">
        <v>19</v>
      </c>
      <c r="E262" s="15" t="n">
        <v>59565</v>
      </c>
      <c r="F262" s="16" t="n">
        <v>6</v>
      </c>
      <c r="G262" s="15" t="n">
        <v>52970</v>
      </c>
    </row>
    <row r="263" customFormat="false" ht="15" hidden="false" customHeight="false" outlineLevel="0" collapsed="false">
      <c r="A263" s="14" t="s">
        <v>24</v>
      </c>
      <c r="B263" s="14" t="s">
        <v>33</v>
      </c>
      <c r="C263" s="14" t="s">
        <v>26</v>
      </c>
      <c r="D263" s="14" t="s">
        <v>20</v>
      </c>
      <c r="E263" s="15" t="n">
        <v>44935</v>
      </c>
      <c r="F263" s="16" t="n">
        <v>5</v>
      </c>
      <c r="G263" s="15" t="n">
        <v>39960</v>
      </c>
    </row>
    <row r="264" customFormat="false" ht="15" hidden="false" customHeight="false" outlineLevel="0" collapsed="false">
      <c r="A264" s="14" t="s">
        <v>25</v>
      </c>
      <c r="B264" s="14" t="s">
        <v>33</v>
      </c>
      <c r="C264" s="14" t="s">
        <v>26</v>
      </c>
      <c r="D264" s="14" t="s">
        <v>19</v>
      </c>
      <c r="E264" s="15" t="n">
        <v>56430</v>
      </c>
      <c r="F264" s="16" t="n">
        <v>6</v>
      </c>
      <c r="G264" s="15" t="n">
        <v>50182</v>
      </c>
    </row>
    <row r="265" customFormat="false" ht="15" hidden="false" customHeight="false" outlineLevel="0" collapsed="false">
      <c r="A265" s="14" t="s">
        <v>25</v>
      </c>
      <c r="B265" s="14" t="s">
        <v>33</v>
      </c>
      <c r="C265" s="14" t="s">
        <v>26</v>
      </c>
      <c r="D265" s="14" t="s">
        <v>20</v>
      </c>
      <c r="E265" s="15" t="n">
        <v>42570</v>
      </c>
      <c r="F265" s="16" t="n">
        <v>5</v>
      </c>
      <c r="G265" s="15" t="n">
        <v>37857</v>
      </c>
    </row>
    <row r="266" customFormat="false" ht="15" hidden="false" customHeight="false" outlineLevel="0" collapsed="false">
      <c r="A266" s="14" t="s">
        <v>16</v>
      </c>
      <c r="B266" s="14" t="s">
        <v>33</v>
      </c>
      <c r="C266" s="14" t="s">
        <v>27</v>
      </c>
      <c r="D266" s="14" t="s">
        <v>19</v>
      </c>
      <c r="E266" s="15" t="n">
        <v>32718</v>
      </c>
      <c r="F266" s="16" t="n">
        <v>6</v>
      </c>
      <c r="G266" s="15" t="n">
        <v>28650</v>
      </c>
    </row>
    <row r="267" customFormat="false" ht="15" hidden="false" customHeight="false" outlineLevel="0" collapsed="false">
      <c r="A267" s="14" t="s">
        <v>16</v>
      </c>
      <c r="B267" s="14" t="s">
        <v>33</v>
      </c>
      <c r="C267" s="14" t="s">
        <v>27</v>
      </c>
      <c r="D267" s="14" t="s">
        <v>20</v>
      </c>
      <c r="E267" s="15" t="n">
        <v>30202</v>
      </c>
      <c r="F267" s="16" t="n">
        <v>5</v>
      </c>
      <c r="G267" s="15" t="n">
        <v>26446</v>
      </c>
    </row>
    <row r="268" customFormat="false" ht="15" hidden="false" customHeight="false" outlineLevel="0" collapsed="false">
      <c r="A268" s="14" t="s">
        <v>21</v>
      </c>
      <c r="B268" s="14" t="s">
        <v>33</v>
      </c>
      <c r="C268" s="14" t="s">
        <v>27</v>
      </c>
      <c r="D268" s="14" t="s">
        <v>19</v>
      </c>
      <c r="E268" s="15" t="n">
        <v>35235</v>
      </c>
      <c r="F268" s="16" t="n">
        <v>6</v>
      </c>
      <c r="G268" s="15" t="n">
        <v>30854</v>
      </c>
    </row>
    <row r="269" customFormat="false" ht="15" hidden="false" customHeight="false" outlineLevel="0" collapsed="false">
      <c r="A269" s="14" t="s">
        <v>21</v>
      </c>
      <c r="B269" s="14" t="s">
        <v>33</v>
      </c>
      <c r="C269" s="14" t="s">
        <v>27</v>
      </c>
      <c r="D269" s="14" t="s">
        <v>20</v>
      </c>
      <c r="E269" s="15" t="n">
        <v>32525</v>
      </c>
      <c r="F269" s="16" t="n">
        <v>6</v>
      </c>
      <c r="G269" s="15" t="n">
        <v>28481</v>
      </c>
    </row>
    <row r="270" customFormat="false" ht="15" hidden="false" customHeight="false" outlineLevel="0" collapsed="false">
      <c r="A270" s="14" t="s">
        <v>22</v>
      </c>
      <c r="B270" s="14" t="s">
        <v>33</v>
      </c>
      <c r="C270" s="14" t="s">
        <v>27</v>
      </c>
      <c r="D270" s="14" t="s">
        <v>19</v>
      </c>
      <c r="E270" s="15" t="n">
        <v>40269</v>
      </c>
      <c r="F270" s="16" t="n">
        <v>7</v>
      </c>
      <c r="G270" s="15" t="n">
        <v>35262</v>
      </c>
    </row>
    <row r="271" customFormat="false" ht="15" hidden="false" customHeight="false" outlineLevel="0" collapsed="false">
      <c r="A271" s="14" t="s">
        <v>22</v>
      </c>
      <c r="B271" s="14" t="s">
        <v>33</v>
      </c>
      <c r="C271" s="14" t="s">
        <v>27</v>
      </c>
      <c r="D271" s="14" t="s">
        <v>20</v>
      </c>
      <c r="E271" s="15" t="n">
        <v>37171</v>
      </c>
      <c r="F271" s="16" t="n">
        <v>6</v>
      </c>
      <c r="G271" s="15" t="n">
        <v>32549</v>
      </c>
    </row>
    <row r="272" customFormat="false" ht="15" hidden="false" customHeight="false" outlineLevel="0" collapsed="false">
      <c r="A272" s="14" t="s">
        <v>23</v>
      </c>
      <c r="B272" s="14" t="s">
        <v>33</v>
      </c>
      <c r="C272" s="14" t="s">
        <v>27</v>
      </c>
      <c r="D272" s="14" t="s">
        <v>19</v>
      </c>
      <c r="E272" s="15" t="n">
        <v>50336</v>
      </c>
      <c r="F272" s="16" t="n">
        <v>9</v>
      </c>
      <c r="G272" s="15" t="n">
        <v>44077</v>
      </c>
    </row>
    <row r="273" customFormat="false" ht="15" hidden="false" customHeight="false" outlineLevel="0" collapsed="false">
      <c r="A273" s="14" t="s">
        <v>23</v>
      </c>
      <c r="B273" s="14" t="s">
        <v>33</v>
      </c>
      <c r="C273" s="14" t="s">
        <v>27</v>
      </c>
      <c r="D273" s="14" t="s">
        <v>20</v>
      </c>
      <c r="E273" s="15" t="n">
        <v>46464</v>
      </c>
      <c r="F273" s="16" t="n">
        <v>8</v>
      </c>
      <c r="G273" s="15" t="n">
        <v>40687</v>
      </c>
    </row>
    <row r="274" customFormat="false" ht="15" hidden="false" customHeight="false" outlineLevel="0" collapsed="false">
      <c r="A274" s="14" t="s">
        <v>24</v>
      </c>
      <c r="B274" s="14" t="s">
        <v>33</v>
      </c>
      <c r="C274" s="14" t="s">
        <v>27</v>
      </c>
      <c r="D274" s="14" t="s">
        <v>19</v>
      </c>
      <c r="E274" s="15" t="n">
        <v>47819</v>
      </c>
      <c r="F274" s="16" t="n">
        <v>8</v>
      </c>
      <c r="G274" s="15" t="n">
        <v>41873</v>
      </c>
    </row>
    <row r="275" customFormat="false" ht="15" hidden="false" customHeight="false" outlineLevel="0" collapsed="false">
      <c r="A275" s="14" t="s">
        <v>24</v>
      </c>
      <c r="B275" s="14" t="s">
        <v>33</v>
      </c>
      <c r="C275" s="14" t="s">
        <v>27</v>
      </c>
      <c r="D275" s="14" t="s">
        <v>20</v>
      </c>
      <c r="E275" s="15" t="n">
        <v>44141</v>
      </c>
      <c r="F275" s="16" t="n">
        <v>8</v>
      </c>
      <c r="G275" s="15" t="n">
        <v>38652</v>
      </c>
    </row>
    <row r="276" customFormat="false" ht="15" hidden="false" customHeight="false" outlineLevel="0" collapsed="false">
      <c r="A276" s="14" t="s">
        <v>25</v>
      </c>
      <c r="B276" s="14" t="s">
        <v>33</v>
      </c>
      <c r="C276" s="14" t="s">
        <v>27</v>
      </c>
      <c r="D276" s="14" t="s">
        <v>19</v>
      </c>
      <c r="E276" s="15" t="n">
        <v>45302</v>
      </c>
      <c r="F276" s="16" t="n">
        <v>8</v>
      </c>
      <c r="G276" s="15" t="n">
        <v>39669</v>
      </c>
    </row>
    <row r="277" customFormat="false" ht="15" hidden="false" customHeight="false" outlineLevel="0" collapsed="false">
      <c r="A277" s="14" t="s">
        <v>25</v>
      </c>
      <c r="B277" s="14" t="s">
        <v>33</v>
      </c>
      <c r="C277" s="14" t="s">
        <v>27</v>
      </c>
      <c r="D277" s="14" t="s">
        <v>20</v>
      </c>
      <c r="E277" s="15" t="n">
        <v>41818</v>
      </c>
      <c r="F277" s="16" t="n">
        <v>7</v>
      </c>
      <c r="G277" s="15" t="n">
        <v>36618</v>
      </c>
    </row>
    <row r="278" customFormat="false" ht="15" hidden="false" customHeight="false" outlineLevel="0" collapsed="false">
      <c r="A278" s="14" t="s">
        <v>16</v>
      </c>
      <c r="B278" s="14" t="s">
        <v>33</v>
      </c>
      <c r="C278" s="14" t="s">
        <v>28</v>
      </c>
      <c r="D278" s="14" t="s">
        <v>19</v>
      </c>
      <c r="E278" s="15" t="n">
        <v>26770</v>
      </c>
      <c r="F278" s="16" t="n">
        <v>5</v>
      </c>
      <c r="G278" s="15" t="n">
        <v>24303</v>
      </c>
    </row>
    <row r="279" customFormat="false" ht="15" hidden="false" customHeight="false" outlineLevel="0" collapsed="false">
      <c r="A279" s="14" t="s">
        <v>16</v>
      </c>
      <c r="B279" s="14" t="s">
        <v>33</v>
      </c>
      <c r="C279" s="14" t="s">
        <v>28</v>
      </c>
      <c r="D279" s="14" t="s">
        <v>20</v>
      </c>
      <c r="E279" s="15" t="n">
        <v>24710</v>
      </c>
      <c r="F279" s="16" t="n">
        <v>5</v>
      </c>
      <c r="G279" s="15" t="n">
        <v>22433</v>
      </c>
    </row>
    <row r="280" customFormat="false" ht="15" hidden="false" customHeight="false" outlineLevel="0" collapsed="false">
      <c r="A280" s="14" t="s">
        <v>21</v>
      </c>
      <c r="B280" s="14" t="s">
        <v>33</v>
      </c>
      <c r="C280" s="14" t="s">
        <v>28</v>
      </c>
      <c r="D280" s="14" t="s">
        <v>19</v>
      </c>
      <c r="E280" s="15" t="n">
        <v>28829</v>
      </c>
      <c r="F280" s="16" t="n">
        <v>6</v>
      </c>
      <c r="G280" s="15" t="n">
        <v>26172</v>
      </c>
    </row>
    <row r="281" customFormat="false" ht="15" hidden="false" customHeight="false" outlineLevel="0" collapsed="false">
      <c r="A281" s="14" t="s">
        <v>21</v>
      </c>
      <c r="B281" s="14" t="s">
        <v>33</v>
      </c>
      <c r="C281" s="14" t="s">
        <v>28</v>
      </c>
      <c r="D281" s="14" t="s">
        <v>20</v>
      </c>
      <c r="E281" s="15" t="n">
        <v>26611</v>
      </c>
      <c r="F281" s="16" t="n">
        <v>5</v>
      </c>
      <c r="G281" s="15" t="n">
        <v>24159</v>
      </c>
    </row>
    <row r="282" customFormat="false" ht="15" hidden="false" customHeight="false" outlineLevel="0" collapsed="false">
      <c r="A282" s="14" t="s">
        <v>22</v>
      </c>
      <c r="B282" s="14" t="s">
        <v>33</v>
      </c>
      <c r="C282" s="14" t="s">
        <v>28</v>
      </c>
      <c r="D282" s="14" t="s">
        <v>19</v>
      </c>
      <c r="E282" s="15" t="n">
        <v>32947</v>
      </c>
      <c r="F282" s="16" t="n">
        <v>6</v>
      </c>
      <c r="G282" s="15" t="n">
        <v>29911</v>
      </c>
    </row>
    <row r="283" customFormat="false" ht="15" hidden="false" customHeight="false" outlineLevel="0" collapsed="false">
      <c r="A283" s="14" t="s">
        <v>22</v>
      </c>
      <c r="B283" s="14" t="s">
        <v>33</v>
      </c>
      <c r="C283" s="14" t="s">
        <v>28</v>
      </c>
      <c r="D283" s="14" t="s">
        <v>20</v>
      </c>
      <c r="E283" s="15" t="n">
        <v>30413</v>
      </c>
      <c r="F283" s="16" t="n">
        <v>6</v>
      </c>
      <c r="G283" s="15" t="n">
        <v>27610</v>
      </c>
    </row>
    <row r="284" customFormat="false" ht="15" hidden="false" customHeight="false" outlineLevel="0" collapsed="false">
      <c r="A284" s="14" t="s">
        <v>23</v>
      </c>
      <c r="B284" s="14" t="s">
        <v>33</v>
      </c>
      <c r="C284" s="14" t="s">
        <v>28</v>
      </c>
      <c r="D284" s="14" t="s">
        <v>19</v>
      </c>
      <c r="E284" s="15" t="n">
        <v>41184</v>
      </c>
      <c r="F284" s="16" t="n">
        <v>8</v>
      </c>
      <c r="G284" s="15" t="n">
        <v>37389</v>
      </c>
    </row>
    <row r="285" customFormat="false" ht="15" hidden="false" customHeight="false" outlineLevel="0" collapsed="false">
      <c r="A285" s="14" t="s">
        <v>23</v>
      </c>
      <c r="B285" s="14" t="s">
        <v>33</v>
      </c>
      <c r="C285" s="14" t="s">
        <v>28</v>
      </c>
      <c r="D285" s="14" t="s">
        <v>20</v>
      </c>
      <c r="E285" s="15" t="n">
        <v>38016</v>
      </c>
      <c r="F285" s="16" t="n">
        <v>7</v>
      </c>
      <c r="G285" s="15" t="n">
        <v>34513</v>
      </c>
    </row>
    <row r="286" customFormat="false" ht="15" hidden="false" customHeight="false" outlineLevel="0" collapsed="false">
      <c r="A286" s="14" t="s">
        <v>24</v>
      </c>
      <c r="B286" s="14" t="s">
        <v>33</v>
      </c>
      <c r="C286" s="14" t="s">
        <v>28</v>
      </c>
      <c r="D286" s="14" t="s">
        <v>19</v>
      </c>
      <c r="E286" s="15" t="n">
        <v>39125</v>
      </c>
      <c r="F286" s="16" t="n">
        <v>8</v>
      </c>
      <c r="G286" s="15" t="n">
        <v>35520</v>
      </c>
    </row>
    <row r="287" customFormat="false" ht="15" hidden="false" customHeight="false" outlineLevel="0" collapsed="false">
      <c r="A287" s="14" t="s">
        <v>24</v>
      </c>
      <c r="B287" s="14" t="s">
        <v>33</v>
      </c>
      <c r="C287" s="14" t="s">
        <v>28</v>
      </c>
      <c r="D287" s="14" t="s">
        <v>20</v>
      </c>
      <c r="E287" s="15" t="n">
        <v>36115</v>
      </c>
      <c r="F287" s="16" t="n">
        <v>7</v>
      </c>
      <c r="G287" s="15" t="n">
        <v>32787</v>
      </c>
    </row>
    <row r="288" customFormat="false" ht="15" hidden="false" customHeight="false" outlineLevel="0" collapsed="false">
      <c r="A288" s="14" t="s">
        <v>25</v>
      </c>
      <c r="B288" s="14" t="s">
        <v>33</v>
      </c>
      <c r="C288" s="14" t="s">
        <v>28</v>
      </c>
      <c r="D288" s="14" t="s">
        <v>19</v>
      </c>
      <c r="E288" s="15" t="n">
        <v>37066</v>
      </c>
      <c r="F288" s="16" t="n">
        <v>7</v>
      </c>
      <c r="G288" s="15" t="n">
        <v>33650</v>
      </c>
    </row>
    <row r="289" customFormat="false" ht="15" hidden="false" customHeight="false" outlineLevel="0" collapsed="false">
      <c r="A289" s="14" t="s">
        <v>25</v>
      </c>
      <c r="B289" s="14" t="s">
        <v>33</v>
      </c>
      <c r="C289" s="14" t="s">
        <v>28</v>
      </c>
      <c r="D289" s="14" t="s">
        <v>20</v>
      </c>
      <c r="E289" s="15" t="n">
        <v>34214</v>
      </c>
      <c r="F289" s="16" t="n">
        <v>7</v>
      </c>
      <c r="G289" s="15" t="n">
        <v>31062</v>
      </c>
    </row>
  </sheetData>
  <autoFilter ref="A1:G2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3"/>
    <col collapsed="false" customWidth="true" hidden="false" outlineLevel="0" max="7" min="5" style="0" width="14"/>
    <col collapsed="false" customWidth="true" hidden="false" outlineLevel="0" max="8" min="8" style="0" width="3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3"/>
    <col collapsed="false" customWidth="true" hidden="false" outlineLevel="0" max="12" min="12" style="0" width="16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7" t="s">
        <v>34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15" hidden="false" customHeight="false" outlineLevel="0" collapsed="false">
      <c r="A2" s="18" t="s">
        <v>35</v>
      </c>
      <c r="B2" s="18" t="str">
        <f aca="false">IF(Dashboard!$C$4="All","*",Dashboard!$C$4)</f>
        <v>*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15" hidden="false" customHeight="false" outlineLevel="0" collapsed="false">
      <c r="A3" s="18" t="s">
        <v>36</v>
      </c>
      <c r="B3" s="18" t="str">
        <f aca="false">IF(Dashboard!$F$4="All","*",Dashboard!$F$4)</f>
        <v>*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customFormat="false" ht="15" hidden="false" customHeight="false" outlineLevel="0" collapsed="false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customFormat="false" ht="15" hidden="false" customHeight="false" outlineLevel="0" collapsed="false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customFormat="false" ht="15" hidden="false" customHeight="false" outlineLevel="0" collapsed="false">
      <c r="A6" s="19" t="s">
        <v>11</v>
      </c>
      <c r="B6" s="19" t="s">
        <v>19</v>
      </c>
      <c r="C6" s="19" t="s">
        <v>20</v>
      </c>
      <c r="D6" s="20"/>
      <c r="E6" s="19" t="s">
        <v>4</v>
      </c>
      <c r="F6" s="19" t="s">
        <v>19</v>
      </c>
      <c r="G6" s="19" t="s">
        <v>20</v>
      </c>
      <c r="H6" s="20"/>
      <c r="I6" s="19" t="s">
        <v>2</v>
      </c>
      <c r="J6" s="19" t="s">
        <v>37</v>
      </c>
      <c r="K6" s="20"/>
      <c r="L6" s="19" t="s">
        <v>12</v>
      </c>
      <c r="M6" s="19" t="s">
        <v>37</v>
      </c>
    </row>
    <row r="7" customFormat="false" ht="15" hidden="false" customHeight="false" outlineLevel="0" collapsed="false">
      <c r="A7" s="18" t="s">
        <v>16</v>
      </c>
      <c r="B7" s="21" t="n">
        <f aca="false">SUMIFS(Data!$E$2:$E$1000,Data!$A$2:$A$1000,$A7,Data!$B$2:$B$1000,$B$2,Data!$C$2:$C$1000,$B$3,Data!$D$2:$D$1000,B$6)/1000000</f>
        <v>13.800629</v>
      </c>
      <c r="C7" s="21" t="n">
        <f aca="false">SUMIFS(Data!$E$2:$E$1000,Data!$A$2:$A$1000,$A7,Data!$B$2:$B$1000,$B$2,Data!$C$2:$C$1000,$B$3,Data!$D$2:$D$1000,C$6)/1000000</f>
        <v>10.821371</v>
      </c>
      <c r="D7" s="18"/>
      <c r="E7" s="18" t="s">
        <v>18</v>
      </c>
      <c r="F7" s="21" t="n">
        <f aca="false">SUMIFS(Data!$E$2:$E$1000,Data!$C$2:$C$1000,$E7,Data!$B$2:$B$1000,$B$2,Data!$D$2:$D$1000,F$6)/1000000</f>
        <v>39.774</v>
      </c>
      <c r="G7" s="21" t="n">
        <f aca="false">SUMIFS(Data!$E$2:$E$1000,Data!$C$2:$C$1000,$E7,Data!$B$2:$B$1000,$B$2,Data!$D$2:$D$1000,G$6)/1000000</f>
        <v>26.516</v>
      </c>
      <c r="H7" s="18"/>
      <c r="I7" s="18" t="s">
        <v>17</v>
      </c>
      <c r="J7" s="21" t="n">
        <f aca="false">SUMIFS(Data!$E$2:$E$1000,Data!$B$2:$B$1000,$I7,Data!$C$2:$C$1000,$B$3)/1000000</f>
        <v>87.300001</v>
      </c>
      <c r="K7" s="18"/>
      <c r="L7" s="18" t="s">
        <v>19</v>
      </c>
      <c r="M7" s="21" t="n">
        <f aca="false">SUMIFS(Data!$E$2:$E$1000,Data!$B$2:$B$1000,$B$2,Data!$C$2:$C$1000,$B$3,Data!$D$2:$D$1000,$L7)/1000000</f>
        <v>106.158697</v>
      </c>
    </row>
    <row r="8" customFormat="false" ht="15" hidden="false" customHeight="false" outlineLevel="0" collapsed="false">
      <c r="A8" s="18" t="s">
        <v>21</v>
      </c>
      <c r="B8" s="21" t="n">
        <f aca="false">SUMIFS(Data!$E$2:$E$1000,Data!$A$2:$A$1000,$A8,Data!$B$2:$B$1000,$B$2,Data!$C$2:$C$1000,$B$3,Data!$D$2:$D$1000,B$6)/1000000</f>
        <v>14.862218</v>
      </c>
      <c r="C8" s="21" t="n">
        <f aca="false">SUMIFS(Data!$E$2:$E$1000,Data!$A$2:$A$1000,$A8,Data!$B$2:$B$1000,$B$2,Data!$C$2:$C$1000,$B$3,Data!$D$2:$D$1000,C$6)/1000000</f>
        <v>11.653782</v>
      </c>
      <c r="D8" s="18"/>
      <c r="E8" s="18" t="s">
        <v>26</v>
      </c>
      <c r="F8" s="21" t="n">
        <f aca="false">SUMIFS(Data!$E$2:$E$1000,Data!$C$2:$C$1000,$E8,Data!$B$2:$B$1000,$B$2,Data!$D$2:$D$1000,F$6)/1000000</f>
        <v>26.989497</v>
      </c>
      <c r="G8" s="21" t="n">
        <f aca="false">SUMIFS(Data!$E$2:$E$1000,Data!$C$2:$C$1000,$E8,Data!$B$2:$B$1000,$B$2,Data!$D$2:$D$1000,G$6)/1000000</f>
        <v>20.360504</v>
      </c>
      <c r="H8" s="18"/>
      <c r="I8" s="18" t="s">
        <v>29</v>
      </c>
      <c r="J8" s="21" t="n">
        <f aca="false">SUMIFS(Data!$E$2:$E$1000,Data!$B$2:$B$1000,$I8,Data!$C$2:$C$1000,$B$3)/1000000</f>
        <v>46.7</v>
      </c>
      <c r="K8" s="18"/>
      <c r="L8" s="18" t="s">
        <v>20</v>
      </c>
      <c r="M8" s="21" t="n">
        <f aca="false">SUMIFS(Data!$E$2:$E$1000,Data!$B$2:$B$1000,$B$2,Data!$C$2:$C$1000,$B$3,Data!$D$2:$D$1000,$L8)/1000000</f>
        <v>83.241304</v>
      </c>
    </row>
    <row r="9" customFormat="false" ht="15" hidden="false" customHeight="false" outlineLevel="0" collapsed="false">
      <c r="A9" s="18" t="s">
        <v>22</v>
      </c>
      <c r="B9" s="21" t="n">
        <f aca="false">SUMIFS(Data!$E$2:$E$1000,Data!$A$2:$A$1000,$A9,Data!$B$2:$B$1000,$B$2,Data!$C$2:$C$1000,$B$3,Data!$D$2:$D$1000,B$6)/1000000</f>
        <v>16.985392</v>
      </c>
      <c r="C9" s="21" t="n">
        <f aca="false">SUMIFS(Data!$E$2:$E$1000,Data!$A$2:$A$1000,$A9,Data!$B$2:$B$1000,$B$2,Data!$C$2:$C$1000,$B$3,Data!$D$2:$D$1000,C$6)/1000000</f>
        <v>13.318608</v>
      </c>
      <c r="D9" s="18"/>
      <c r="E9" s="18" t="s">
        <v>27</v>
      </c>
      <c r="F9" s="21" t="n">
        <f aca="false">SUMIFS(Data!$E$2:$E$1000,Data!$C$2:$C$1000,$E9,Data!$B$2:$B$1000,$B$2,Data!$D$2:$D$1000,F$6)/1000000</f>
        <v>21.667358</v>
      </c>
      <c r="G9" s="21" t="n">
        <f aca="false">SUMIFS(Data!$E$2:$E$1000,Data!$C$2:$C$1000,$E9,Data!$B$2:$B$1000,$B$2,Data!$D$2:$D$1000,G$6)/1000000</f>
        <v>20.000642</v>
      </c>
      <c r="H9" s="18"/>
      <c r="I9" s="18" t="s">
        <v>30</v>
      </c>
      <c r="J9" s="21" t="n">
        <f aca="false">SUMIFS(Data!$E$2:$E$1000,Data!$B$2:$B$1000,$I9,Data!$C$2:$C$1000,$B$3)/1000000</f>
        <v>32.1</v>
      </c>
      <c r="K9" s="18"/>
      <c r="L9" s="18"/>
      <c r="M9" s="18"/>
    </row>
    <row r="10" customFormat="false" ht="15" hidden="false" customHeight="false" outlineLevel="0" collapsed="false">
      <c r="A10" s="18" t="s">
        <v>23</v>
      </c>
      <c r="B10" s="21" t="n">
        <f aca="false">SUMIFS(Data!$E$2:$E$1000,Data!$A$2:$A$1000,$A10,Data!$B$2:$B$1000,$B$2,Data!$C$2:$C$1000,$B$3,Data!$D$2:$D$1000,B$6)/1000000</f>
        <v>21.23174</v>
      </c>
      <c r="C10" s="21" t="n">
        <f aca="false">SUMIFS(Data!$E$2:$E$1000,Data!$A$2:$A$1000,$A10,Data!$B$2:$B$1000,$B$2,Data!$C$2:$C$1000,$B$3,Data!$D$2:$D$1000,C$6)/1000000</f>
        <v>16.64826</v>
      </c>
      <c r="D10" s="18"/>
      <c r="E10" s="18" t="s">
        <v>28</v>
      </c>
      <c r="F10" s="21" t="n">
        <f aca="false">SUMIFS(Data!$E$2:$E$1000,Data!$C$2:$C$1000,$E10,Data!$B$2:$B$1000,$B$2,Data!$D$2:$D$1000,F$6)/1000000</f>
        <v>17.727842</v>
      </c>
      <c r="G10" s="21" t="n">
        <f aca="false">SUMIFS(Data!$E$2:$E$1000,Data!$C$2:$C$1000,$E10,Data!$B$2:$B$1000,$B$2,Data!$D$2:$D$1000,G$6)/1000000</f>
        <v>16.364158</v>
      </c>
      <c r="H10" s="18"/>
      <c r="I10" s="18" t="s">
        <v>31</v>
      </c>
      <c r="J10" s="21" t="n">
        <f aca="false">SUMIFS(Data!$E$2:$E$1000,Data!$B$2:$B$1000,$I10,Data!$C$2:$C$1000,$B$3)/1000000</f>
        <v>18.7</v>
      </c>
      <c r="K10" s="18"/>
      <c r="L10" s="18"/>
      <c r="M10" s="18"/>
    </row>
    <row r="11" customFormat="false" ht="15" hidden="false" customHeight="false" outlineLevel="0" collapsed="false">
      <c r="A11" s="18" t="s">
        <v>24</v>
      </c>
      <c r="B11" s="21" t="n">
        <f aca="false">SUMIFS(Data!$E$2:$E$1000,Data!$A$2:$A$1000,$A11,Data!$B$2:$B$1000,$B$2,Data!$C$2:$C$1000,$B$3,Data!$D$2:$D$1000,B$6)/1000000</f>
        <v>20.170152</v>
      </c>
      <c r="C11" s="21" t="n">
        <f aca="false">SUMIFS(Data!$E$2:$E$1000,Data!$A$2:$A$1000,$A11,Data!$B$2:$B$1000,$B$2,Data!$C$2:$C$1000,$B$3,Data!$D$2:$D$1000,C$6)/1000000</f>
        <v>15.815849</v>
      </c>
      <c r="D11" s="18"/>
      <c r="E11" s="18"/>
      <c r="F11" s="18"/>
      <c r="G11" s="18"/>
      <c r="H11" s="18"/>
      <c r="I11" s="18" t="s">
        <v>32</v>
      </c>
      <c r="J11" s="21" t="n">
        <f aca="false">SUMIFS(Data!$E$2:$E$1000,Data!$B$2:$B$1000,$I11,Data!$C$2:$C$1000,$B$3)/1000000</f>
        <v>2.4</v>
      </c>
      <c r="K11" s="18"/>
      <c r="L11" s="18"/>
      <c r="M11" s="18"/>
    </row>
    <row r="12" customFormat="false" ht="15" hidden="false" customHeight="false" outlineLevel="0" collapsed="false">
      <c r="A12" s="18" t="s">
        <v>25</v>
      </c>
      <c r="B12" s="21" t="n">
        <f aca="false">SUMIFS(Data!$E$2:$E$1000,Data!$A$2:$A$1000,$A12,Data!$B$2:$B$1000,$B$2,Data!$C$2:$C$1000,$B$3,Data!$D$2:$D$1000,B$6)/1000000</f>
        <v>19.108566</v>
      </c>
      <c r="C12" s="21" t="n">
        <f aca="false">SUMIFS(Data!$E$2:$E$1000,Data!$A$2:$A$1000,$A12,Data!$B$2:$B$1000,$B$2,Data!$C$2:$C$1000,$B$3,Data!$D$2:$D$1000,C$6)/1000000</f>
        <v>14.983434</v>
      </c>
      <c r="D12" s="18"/>
      <c r="E12" s="18"/>
      <c r="F12" s="18"/>
      <c r="G12" s="18"/>
      <c r="H12" s="18"/>
      <c r="I12" s="18" t="s">
        <v>33</v>
      </c>
      <c r="J12" s="21" t="n">
        <f aca="false">SUMIFS(Data!$E$2:$E$1000,Data!$B$2:$B$1000,$I12,Data!$C$2:$C$1000,$B$3)/1000000</f>
        <v>2.2</v>
      </c>
      <c r="K12" s="18"/>
      <c r="L12" s="18"/>
      <c r="M12" s="18"/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22" t="s">
        <v>38</v>
      </c>
    </row>
    <row r="2" customFormat="false" ht="15" hidden="false" customHeight="false" outlineLevel="0" collapsed="false">
      <c r="A2" s="23" t="s">
        <v>39</v>
      </c>
    </row>
    <row r="3" customFormat="false" ht="26.85" hidden="false" customHeight="false" outlineLevel="0" collapsed="false">
      <c r="A3" s="23" t="s">
        <v>40</v>
      </c>
    </row>
    <row r="4" customFormat="false" ht="15" hidden="false" customHeight="false" outlineLevel="0" collapsed="false">
      <c r="A4" s="23" t="s">
        <v>41</v>
      </c>
    </row>
    <row r="5" customFormat="false" ht="15" hidden="false" customHeight="false" outlineLevel="0" collapsed="false">
      <c r="A5" s="23" t="s">
        <v>42</v>
      </c>
    </row>
    <row r="6" customFormat="false" ht="15" hidden="false" customHeight="false" outlineLevel="0" collapsed="false">
      <c r="A6" s="23" t="s">
        <v>43</v>
      </c>
    </row>
    <row r="7" customFormat="false" ht="15" hidden="false" customHeight="false" outlineLevel="0" collapsed="false">
      <c r="A7" s="23"/>
    </row>
    <row r="8" customFormat="false" ht="16.15" hidden="false" customHeight="false" outlineLevel="0" collapsed="false">
      <c r="A8" s="22" t="s">
        <v>44</v>
      </c>
    </row>
    <row r="9" customFormat="false" ht="26.85" hidden="false" customHeight="false" outlineLevel="0" collapsed="false">
      <c r="A9" s="23" t="s">
        <v>45</v>
      </c>
    </row>
    <row r="10" customFormat="false" ht="15" hidden="false" customHeight="false" outlineLevel="0" collapsed="false">
      <c r="A10" s="23" t="s">
        <v>46</v>
      </c>
    </row>
    <row r="11" customFormat="false" ht="15" hidden="false" customHeight="false" outlineLevel="0" collapsed="false">
      <c r="A11" s="23" t="s">
        <v>47</v>
      </c>
    </row>
    <row r="12" customFormat="false" ht="15" hidden="false" customHeight="false" outlineLevel="0" collapsed="false">
      <c r="A12" s="23" t="s">
        <v>48</v>
      </c>
    </row>
    <row r="13" customFormat="false" ht="15" hidden="false" customHeight="false" outlineLevel="0" collapsed="false">
      <c r="A13" s="23"/>
    </row>
    <row r="14" customFormat="false" ht="16.15" hidden="false" customHeight="false" outlineLevel="0" collapsed="false">
      <c r="A14" s="22" t="s">
        <v>49</v>
      </c>
    </row>
    <row r="15" customFormat="false" ht="15" hidden="false" customHeight="false" outlineLevel="0" collapsed="false">
      <c r="A15" s="23" t="s">
        <v>50</v>
      </c>
    </row>
    <row r="16" customFormat="false" ht="15" hidden="false" customHeight="false" outlineLevel="0" collapsed="false">
      <c r="A16" s="23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2026-10-13T03:43:27Z</dcterms:created>
  <dc:creator>openpyxl</dc:creator>
  <dc:description/>
  <dc:language>en-US</dc:language>
  <cp:lastModifiedBy/>
  <dcterms:modified xsi:type="dcterms:W3CDTF">2026-10-13T03:43:29Z</dcterms:modified>
  <cp:revision>1</cp:revision>
  <dc:subject/>
  <dc:title>AyNova Academy - Sales Dashboard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